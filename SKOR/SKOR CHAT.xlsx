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Users\fcc.agent12\Downloads\"/>
    </mc:Choice>
  </mc:AlternateContent>
  <xr:revisionPtr revIDLastSave="0" documentId="13_ncr:1_{DE591DC3-10CE-4FAF-B78D-C1E96DCE23C0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PEMBAGIAN AGENT" sheetId="82" r:id="rId1"/>
    <sheet name="Temuan Bulan Des" sheetId="2" state="hidden" r:id="rId2"/>
    <sheet name="Chat" sheetId="310" r:id="rId3"/>
  </sheets>
  <definedNames>
    <definedName name="a" localSheetId="2">#REF!</definedName>
    <definedName name="a">#REF!</definedName>
    <definedName name="Dheo" localSheetId="2">#REF!</definedName>
    <definedName name="Dheo">#REF!</definedName>
    <definedName name="f" localSheetId="2">#REF!</definedName>
    <definedName name="f">#REF!</definedName>
    <definedName name="fwsad" localSheetId="2">#REF!</definedName>
    <definedName name="fwsad">#REF!</definedName>
    <definedName name="ghkmbmg" localSheetId="2">#REF!</definedName>
    <definedName name="ghkmbmg">#REF!</definedName>
    <definedName name="grfd" localSheetId="2">#REF!</definedName>
    <definedName name="grfd">#REF!</definedName>
    <definedName name="IraDestri" localSheetId="2">#REF!</definedName>
    <definedName name="IraDestri">#REF!</definedName>
    <definedName name="nbgf" localSheetId="2">#REF!</definedName>
    <definedName name="nbgf">#REF!</definedName>
    <definedName name="nju" localSheetId="2">#REF!</definedName>
    <definedName name="nju">#REF!</definedName>
    <definedName name="Tax" localSheetId="2">#REF!</definedName>
    <definedName name="Tax">#REF!</definedName>
    <definedName name="TaxRate" localSheetId="2">#REF!</definedName>
    <definedName name="TaxRate">#REF!</definedName>
    <definedName name="wfrewfdergvrf" localSheetId="2">#REF!</definedName>
    <definedName name="wfrewfdergvrf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310" l="1"/>
  <c r="D18" i="310"/>
  <c r="D17" i="310"/>
  <c r="D16" i="310"/>
  <c r="D15" i="310"/>
  <c r="D11" i="310"/>
  <c r="D10" i="310"/>
  <c r="D9" i="310"/>
  <c r="D8" i="310"/>
  <c r="D7" i="310"/>
  <c r="D6" i="310"/>
  <c r="D5" i="310"/>
  <c r="D4" i="310"/>
  <c r="I19" i="310" s="1"/>
  <c r="E19" i="310" l="1"/>
  <c r="F19" i="310"/>
  <c r="G19" i="310"/>
  <c r="H19" i="310"/>
  <c r="G21" i="310" l="1"/>
</calcChain>
</file>

<file path=xl/sharedStrings.xml><?xml version="1.0" encoding="utf-8"?>
<sst xmlns="http://schemas.openxmlformats.org/spreadsheetml/2006/main" count="505" uniqueCount="255">
  <si>
    <t>Parameter</t>
  </si>
  <si>
    <t>Accuracy Solution</t>
  </si>
  <si>
    <t>NO</t>
  </si>
  <si>
    <t>NO TEMUAN</t>
  </si>
  <si>
    <t>TL</t>
  </si>
  <si>
    <t>NAMA</t>
  </si>
  <si>
    <t>Nomor Konsumen/Email</t>
  </si>
  <si>
    <t>TGL SAMPEL</t>
  </si>
  <si>
    <t>TGL CALL/TGL EMAIL</t>
  </si>
  <si>
    <t>JAM</t>
  </si>
  <si>
    <t>DURASI</t>
  </si>
  <si>
    <t>KETIDAKSESUAIAN</t>
  </si>
  <si>
    <t>SEBAIKNYA</t>
  </si>
  <si>
    <t>DAMPAK</t>
  </si>
  <si>
    <t>PIC</t>
  </si>
  <si>
    <t>USIA ONLINE</t>
  </si>
  <si>
    <t xml:space="preserve">Nurdanila </t>
  </si>
  <si>
    <t>Ashma Rimadany</t>
  </si>
  <si>
    <t>Kategori</t>
  </si>
  <si>
    <t>Ninggar</t>
  </si>
  <si>
    <t xml:space="preserve">Dokumentasi </t>
  </si>
  <si>
    <t>Proper Input CRM</t>
  </si>
  <si>
    <t xml:space="preserve">Remarks / Development Action : </t>
  </si>
  <si>
    <t xml:space="preserve">Greeting Opening </t>
  </si>
  <si>
    <t>Greeting Menawarkan Bantuan</t>
  </si>
  <si>
    <t>Voice Quality</t>
  </si>
  <si>
    <t>Arifudin</t>
  </si>
  <si>
    <t>Ken Dite Asmarani</t>
  </si>
  <si>
    <t xml:space="preserve">Siti Nur Anisa </t>
  </si>
  <si>
    <t>Habibi</t>
  </si>
  <si>
    <t>Arma Prihesti</t>
  </si>
  <si>
    <t xml:space="preserve">Leni Marlina </t>
  </si>
  <si>
    <t>Obi Septian Nurmayadi</t>
  </si>
  <si>
    <t>Puji Apriningsih</t>
  </si>
  <si>
    <t xml:space="preserve">Ashma Rimadany </t>
  </si>
  <si>
    <t>M Fikri Fauzan</t>
  </si>
  <si>
    <t>Lina / 08116126799</t>
  </si>
  <si>
    <t>QAEMAIL16102019A</t>
  </si>
  <si>
    <t>Lukmanul Hakim / lukmanakhim@gmail.com</t>
  </si>
  <si>
    <t xml:space="preserve">Agent tidak memilih Jenis Dokumen </t>
  </si>
  <si>
    <t>Agent seharusnya memilih Jenis Dokumen yang sesuai yaitu Asli</t>
  </si>
  <si>
    <t>Akan menyulitkan ketika melakukan penarikan data yang dibutuhkan oleh manajemen (data menjadi tidak valid)</t>
  </si>
  <si>
    <t>Vidia</t>
  </si>
  <si>
    <t>1 Tahun 10 Bulan</t>
  </si>
  <si>
    <t>QAEMAIL16102019B</t>
  </si>
  <si>
    <t xml:space="preserve">Proper Input CRM </t>
  </si>
  <si>
    <t>Agent tidak sesuai dalam memilih Jenis LJK dan Sektor</t>
  </si>
  <si>
    <t>Agent seharusnya memilih Jenis LJK dan Sektor yang sesuai yaitu IKNB-Lainnya dan Financial Technology</t>
  </si>
  <si>
    <t>QAEMAIL16102019C</t>
  </si>
  <si>
    <t xml:space="preserve">Muhammad Siddik </t>
  </si>
  <si>
    <t>Tjan Vey / lapor@lapor.go.id / #5072241</t>
  </si>
  <si>
    <t>Agent tidak sesuai dalam memilih Jenis Layanan</t>
  </si>
  <si>
    <t>Agent seharusnya memilih Jenis Layanan yang sesuai yaitu Pemberian Informasi</t>
  </si>
  <si>
    <t>QAEMAIL16102019D</t>
  </si>
  <si>
    <t>Anonim #5070105 LAPOR! / lapor@lapor.go.id</t>
  </si>
  <si>
    <t>QA22102019A</t>
  </si>
  <si>
    <t>07.22</t>
  </si>
  <si>
    <t>Agent tidak mengucapkan greeting pembuka.</t>
  </si>
  <si>
    <t>Agent seharusnya mengucapkan greeting pembuka dengan tanggap, jelas dan tepat.</t>
  </si>
  <si>
    <t>Konsumen merasa didiamkan dan dapat menimbulkan persepsi bahwa Layanan Kontak OJK 157 tidak memiliki brand</t>
  </si>
  <si>
    <t xml:space="preserve">8 Bulan </t>
  </si>
  <si>
    <t>QA22102019B</t>
  </si>
  <si>
    <t>Agent tidak mengucapkan kesediaan menawarkan bantuan</t>
  </si>
  <si>
    <t>Agent seharusnya mengucapkan kesediaan menawarkan bantuan</t>
  </si>
  <si>
    <t>Akan menimbulkan persepsi bahwa Layanan Kontak OJK 157 tidak memiliki keinginan membantu</t>
  </si>
  <si>
    <t>QA22102019C</t>
  </si>
  <si>
    <t xml:space="preserve">Accuracy Solution </t>
  </si>
  <si>
    <t>Agent tidak menjawab pertanyaan dari konsumen dengan tepat. Konsumen menanyakan terkait Legalitas LJK bukan diarahkan untuk melakukan pengaduan ke kantor OJK.</t>
  </si>
  <si>
    <r>
      <t xml:space="preserve">Agent seharusnya memberikan informasi terkait Legalitas dari PT Victoria Manajemen Investasi yang sudah terdaftar di OJK, dapat di cek pada </t>
    </r>
    <r>
      <rPr>
        <u/>
        <sz val="11"/>
        <color rgb="FF002ADA"/>
        <rFont val="Calibri"/>
        <family val="2"/>
        <scheme val="minor"/>
      </rPr>
      <t xml:space="preserve">http://reksadana.ojk.go.id/Public/ManajerInvestasiPublic.aspx?id=VMI02  </t>
    </r>
  </si>
  <si>
    <t>Konsumen tidak mendapatkan informasi yang tepat yang dapat berdampak pada reputasi OJK</t>
  </si>
  <si>
    <t>QA22102019D</t>
  </si>
  <si>
    <t>Agent tidak sesuai dalam melakukan pemilihan Jenis Permasalahan.</t>
  </si>
  <si>
    <t>Agent seharusnya memilih Jenis Permasalahan "Legalitas LJK dan Produk", karena pada menit 1.24, agent melakukan konfirmasi terkait pertanyaan konsumen mengenai hal tersebut.</t>
  </si>
  <si>
    <t>Akan menyulitkan apabila dilakukan penarikan data yang dibutuhkan oleh Manajemen (data menjadi tidak valid)</t>
  </si>
  <si>
    <t xml:space="preserve">Vidia </t>
  </si>
  <si>
    <t>REC22102019A</t>
  </si>
  <si>
    <r>
      <t>Agent menggunakan nada bicara datar/tidak</t>
    </r>
    <r>
      <rPr>
        <i/>
        <sz val="11"/>
        <color theme="1"/>
        <rFont val="Calibri"/>
        <family val="2"/>
        <scheme val="minor"/>
      </rPr>
      <t xml:space="preserve"> smiling voice</t>
    </r>
    <r>
      <rPr>
        <sz val="11"/>
        <color theme="1"/>
        <rFont val="Calibri"/>
        <family val="2"/>
        <charset val="1"/>
        <scheme val="minor"/>
      </rPr>
      <t xml:space="preserve"> dalam melayani pelanggan.</t>
    </r>
  </si>
  <si>
    <r>
      <t xml:space="preserve">Agent seharusnya berbicara dengan nada </t>
    </r>
    <r>
      <rPr>
        <i/>
        <sz val="11"/>
        <color theme="1"/>
        <rFont val="Calibri"/>
        <family val="2"/>
        <scheme val="minor"/>
      </rPr>
      <t>smiling voice</t>
    </r>
    <r>
      <rPr>
        <sz val="11"/>
        <color theme="1"/>
        <rFont val="Calibri"/>
        <family val="2"/>
        <charset val="1"/>
        <scheme val="minor"/>
      </rPr>
      <t xml:space="preserve"> dalam melayani pelanggan </t>
    </r>
  </si>
  <si>
    <r>
      <t xml:space="preserve">Akan dapat memancing emosi pelanggan bila terdengar malas-malasan dan tidak </t>
    </r>
    <r>
      <rPr>
        <i/>
        <sz val="11"/>
        <color theme="1"/>
        <rFont val="Calibri"/>
        <family val="2"/>
        <scheme val="minor"/>
      </rPr>
      <t>smiling voice</t>
    </r>
    <r>
      <rPr>
        <sz val="11"/>
        <color theme="1"/>
        <rFont val="Calibri"/>
        <family val="2"/>
        <charset val="1"/>
        <scheme val="minor"/>
      </rPr>
      <t xml:space="preserve"> </t>
    </r>
  </si>
  <si>
    <t>QA25102019A</t>
  </si>
  <si>
    <t xml:space="preserve">Verification </t>
  </si>
  <si>
    <t>Agus Wijaya / unknown number</t>
  </si>
  <si>
    <t xml:space="preserve">Agent tidak sesuai dalam melakukan verifikasi data konsumen </t>
  </si>
  <si>
    <t>Agent seharusnya melakukan verifikasi data konsumen pada awal percakapan sesuai dengan Prosedur Layanan Call Center</t>
  </si>
  <si>
    <t>Agent kurang fokus sehingga akan menyulitkan ketika melakukan pencarian data yang dibutuhkan oleh manajemen (data menjadi tidak valid)</t>
  </si>
  <si>
    <t>QA29102019C</t>
  </si>
  <si>
    <t xml:space="preserve">Standard Hold </t>
  </si>
  <si>
    <t>Nur / 081514442433</t>
  </si>
  <si>
    <t>Agent tidak sesuai dalam penggunaan standar hold dalam melayani konsumen (3 menit 3 detik)</t>
  </si>
  <si>
    <t>Agent seharusnya melakukan hold pertama max 60 detik, kemudian meminta ijin konsumen kembali ketika belum mendapatkan solusi dan melakukan hold &gt; 60 detik</t>
  </si>
  <si>
    <t>Konsumen akan menunggu terlalu lama sehingga cenderung bosan dan tidak diperhatikan</t>
  </si>
  <si>
    <t xml:space="preserve">9 Bulan </t>
  </si>
  <si>
    <t>QA29102019D</t>
  </si>
  <si>
    <t xml:space="preserve">Closing Greeting </t>
  </si>
  <si>
    <t>Suryadi / 085217010363</t>
  </si>
  <si>
    <t xml:space="preserve">Agent kurang fokus dalam melakukan closing greeting di akhir layanan  </t>
  </si>
  <si>
    <t>Agent seharusnya fokus ketika melayani konsumen sehingga tidak terjadi kesalahan dalam penyebutan pada closing greeting</t>
  </si>
  <si>
    <t>Menunjukkan pelayanan Kontak 157 kurang professional karena tidak fokus</t>
  </si>
  <si>
    <t>QA011119A</t>
  </si>
  <si>
    <t>Aryo / 081315896689</t>
  </si>
  <si>
    <t>Agent tidak sesuai dalam penggunaan standar hold dalam melayani konsumen (2 menit 30 detik)</t>
  </si>
  <si>
    <t>QAEMAIL30102019A</t>
  </si>
  <si>
    <t>Andi Susanto / andhitindo@yahoo.com</t>
  </si>
  <si>
    <t>QA041119A</t>
  </si>
  <si>
    <t xml:space="preserve">Dwi Utami </t>
  </si>
  <si>
    <t>Antonius / 082291721556</t>
  </si>
  <si>
    <t>Agent tidak sesuai dalam penggunaan standar hold dalam melayani konsumen (1 menit 47 detik)</t>
  </si>
  <si>
    <t xml:space="preserve">1 Tahun 10 Bulan </t>
  </si>
  <si>
    <t>QA041119B</t>
  </si>
  <si>
    <t>Agent tidak sesuai dalam menuliskan Nomor Telepon Konsumen</t>
  </si>
  <si>
    <t>Agent seharusnya menuliskan dengan benar Nomor Telepon Konsumen yaitu 082291721556</t>
  </si>
  <si>
    <t>Agent kurang fokus sehingga akan menyulitkan ketika melakukan pencairan data yang dibutuhkan oleh manajemen (data menjadi tidak valid)</t>
  </si>
  <si>
    <t>QA041119C</t>
  </si>
  <si>
    <t>Rolan  / 081380853327</t>
  </si>
  <si>
    <t>Agent tidak sesuai dalam menuliskan Nama Konsumen</t>
  </si>
  <si>
    <t xml:space="preserve">Agent seharusnya menuliskan dengan benar Nama Konsumen yaitu Rolan bukan Ronal </t>
  </si>
  <si>
    <t>RC041119A</t>
  </si>
  <si>
    <t>Agent tidak sesuai dalam menuliskan Judul Subject pada Riwayat Layanan</t>
  </si>
  <si>
    <t>Agent seharusnya menuliskan Judul Subject pada Riwayat Layanan yaitu Tanggapan bukan Pemberian Informasi</t>
  </si>
  <si>
    <t>Penginputan CRM menjadi tidak seragam pada Layanan Kontak 157</t>
  </si>
  <si>
    <t>QAEMAIL01112019A</t>
  </si>
  <si>
    <t>Obi Septian N</t>
  </si>
  <si>
    <t>Bernard Sagala / bernard2712@gmail.com</t>
  </si>
  <si>
    <t>Agent tidak sesuai dalam memilih Layanan</t>
  </si>
  <si>
    <t>Agent seharusnya memilih Layanan yang sesuai yaitu Pemberian Informasi</t>
  </si>
  <si>
    <t>Dwi Kurniati / dwi.ken.ryu.dira@gmail.com</t>
  </si>
  <si>
    <t>Ridwan Aman Doloksaribu / kaleb_amands@yahoo.com</t>
  </si>
  <si>
    <t>Anisa / 085930238617</t>
  </si>
  <si>
    <t>QAEMAIL04112019A</t>
  </si>
  <si>
    <t>Ahmad Halwa / ahmadhalwa03@gmail.com</t>
  </si>
  <si>
    <t>Agent melakukan double input pada inputan CRM</t>
  </si>
  <si>
    <t>Agent seharusnya fokus dan hanya menuliskan satu inputan CRM, atau melakukan penghapusan pada inputan yang lain bukan membiarkan inputan tersebut masih Open.</t>
  </si>
  <si>
    <t>QAEMAIL04112019B</t>
  </si>
  <si>
    <t>Agent tidak menuliskan Subject pada saat input data CRM</t>
  </si>
  <si>
    <t>Agent seharusnya menuliskan Subject pada saat input data CRM</t>
  </si>
  <si>
    <t>QAEMAIL04112019C</t>
  </si>
  <si>
    <t>Nanand Tse / ardinaltse22@gmail.com</t>
  </si>
  <si>
    <t>9 Bulan</t>
  </si>
  <si>
    <t>QA07112019A</t>
  </si>
  <si>
    <t>Greeting Opening</t>
  </si>
  <si>
    <t xml:space="preserve">Agent kurang fokus dalam melakukan opening greeting di awal layanan  </t>
  </si>
  <si>
    <t>Agent seharusnya fokus ketika melayani konsumen sehingga tidak terjadi kesalahan dalam penyebutan pada opening greeting</t>
  </si>
  <si>
    <t>QA07112019B</t>
  </si>
  <si>
    <t>QA07112019C</t>
  </si>
  <si>
    <t>Sri / 087861511884</t>
  </si>
  <si>
    <t>Agent tidak sesuai dalam memilih Sektor dan Jenis LJK</t>
  </si>
  <si>
    <t>Agent seharusnya memilih Sektor dan Jenis LJK yang sesuai yaitu "IKNB - Lainnya" dan "Lembaga Keuangan Mikro"</t>
  </si>
  <si>
    <t>Irfan / 081314386622</t>
  </si>
  <si>
    <t xml:space="preserve">Susi / 081314228190 </t>
  </si>
  <si>
    <t>Teddy Haryadi / 0215858125 / 083819684254</t>
  </si>
  <si>
    <t>Anindya Trirahmawati / anindyatrirahmawati05@gmail.com</t>
  </si>
  <si>
    <t>Lia Amelia / harlianharlian58@gmail.com</t>
  </si>
  <si>
    <t>QAEMAIL06112019B</t>
  </si>
  <si>
    <t xml:space="preserve">Agent tidak sesuai dalam melakukan penginputan ID Media </t>
  </si>
  <si>
    <t xml:space="preserve">Agent seharusnya fokus dan menuliskan ID media dengan tepat yaitu dwi.ken.ryu.dira@gmail.com </t>
  </si>
  <si>
    <t>QAEMAIL06112019C</t>
  </si>
  <si>
    <t>Rouli Duma Sibarani / roulysibarani@gmail.com</t>
  </si>
  <si>
    <t>Agent seharusnya fokus dan menuliskan ID media dengan tepat yaitu roulysibarani@gmail.com</t>
  </si>
  <si>
    <t>QA08112019A</t>
  </si>
  <si>
    <t>Agent tidak sesuai dalam memberikan informasi perihal jam operasional layanan pengecekan SLIK.</t>
  </si>
  <si>
    <t>Agent seharusnya memberikan informasi dengan tepat perihal operasional layanan SLIK yaitu pada hari Senin-Kamis pukul 09.00-12.00 dan beroperasional kembali pukul 13.30, sedangkan untuk hari Jumat pukul 09.00-11.30 dan beroperasional kembali pukul 13.30.</t>
  </si>
  <si>
    <t>Konsumen datang bukan pada jam operasional pelayanan SLIK.</t>
  </si>
  <si>
    <t>QA08112019B</t>
  </si>
  <si>
    <t xml:space="preserve"> Agent sudah melakukan verifikasi data pelanggan, namun tidak melakukan penginputan Nama Konsumen dan Domisili yang sesuai. Selain itu, Nomor Telepon yang disampaikan oleh konsumen tidak dilakukan penginputan pada CRM</t>
  </si>
  <si>
    <t xml:space="preserve">Agent sebaiknya menambahkan kontak baru jika Nama Konsumen yang ada di CRM tidak sesuai dengan verifikasi dan seharusnya menambahkan Nomor Telepon yang telah diverifikasi. </t>
  </si>
  <si>
    <t>Akan menyulitkan ketika melakukan pencarian data yang dibutuhkan oleh manajemen (data menjadi tidak valid)</t>
  </si>
  <si>
    <t>QA08112019C</t>
  </si>
  <si>
    <t>Agent tidak sesuai dalam penggunaan standar hold dalam melayani konsumen (2 menit 12 detik)</t>
  </si>
  <si>
    <t>QA08112019D</t>
  </si>
  <si>
    <t xml:space="preserve">Arifudin </t>
  </si>
  <si>
    <t>Annisa Nur Rahmah</t>
  </si>
  <si>
    <t>Nidia / 087871216967</t>
  </si>
  <si>
    <t>Agent tidak menginformasikan Nomor WA dan untuk Follow IG Kontak 157 pada saat closing</t>
  </si>
  <si>
    <t>Agent seharusnya menginformasikan Nomor WA dan untuk Follow IG Kontak 157 pada saat closing</t>
  </si>
  <si>
    <t>Konsumen tidak mendapatkan informasi yang dibutuhkan dari IG Kontak157 dan Follower IG tidak bertambah</t>
  </si>
  <si>
    <t xml:space="preserve">1 tahun 10  Bulan </t>
  </si>
  <si>
    <t>Dhea Septyana / dhea.dheaseptyanadsp@gmail.com</t>
  </si>
  <si>
    <t>QAEMAIL07112019A</t>
  </si>
  <si>
    <t>Christian / christianrehatta@yahoo.com</t>
  </si>
  <si>
    <t>QAEMAIL07112019B</t>
  </si>
  <si>
    <t>QAEMAIL07112019C</t>
  </si>
  <si>
    <t>Agent tidak sesuai dalam melakukan pemilihan Sektor dan Jenis LJK</t>
  </si>
  <si>
    <t>Agent seharusnya memilih Sektor IKNB-Lainnya dan Jenis LJK Financial Technology</t>
  </si>
  <si>
    <t>QAEMAIL07112019D</t>
  </si>
  <si>
    <t>Dhea Septyana Putri / dhea.dheaseptyanadsp@gmail.com</t>
  </si>
  <si>
    <t>Ainie Chan / ainiechanchan@gmail.com</t>
  </si>
  <si>
    <t>QAEMAIL07112019E</t>
  </si>
  <si>
    <t>M Siddik Rifai</t>
  </si>
  <si>
    <t xml:space="preserve">Agent tidak melampirkan Dokumen pada Lampiran </t>
  </si>
  <si>
    <t xml:space="preserve">Agent seharusnya melampirkan Dokumen pada Lampiran </t>
  </si>
  <si>
    <t>Akan menyulitkan ketika melakukan pencarian data pendukung yang dibutuhkan oleh manajemen (data menjadi tidak valid)</t>
  </si>
  <si>
    <t>Widya Cristya / widyacristya424@gmail.com</t>
  </si>
  <si>
    <t>QAEMAIL11112019A</t>
  </si>
  <si>
    <t>Agent seharusnya memilih Layanan yang sesuai yaitu Penerimaan Informasi</t>
  </si>
  <si>
    <t>QAEMAIL11112019B</t>
  </si>
  <si>
    <t>Agent seharusnya fokus dan menuliskan ID media dengan tepat yaitu widyacristya424@gmail.com</t>
  </si>
  <si>
    <t>Natasia / anjely.natasia29@gmail.com</t>
  </si>
  <si>
    <t>Khusnul Khotimah / hengki1615@gmail.com</t>
  </si>
  <si>
    <t>QAEMAIL13112019A</t>
  </si>
  <si>
    <t>Agent tidak melakukan Closed Activity sehingga inputan CRM masih Open</t>
  </si>
  <si>
    <t>Agent seharusnya melakukan Closed Activity</t>
  </si>
  <si>
    <t>QAEMAIL13112019B</t>
  </si>
  <si>
    <t>Agus Saptajaya / sapta30jaya@gmail.com</t>
  </si>
  <si>
    <t>Fera pracillia Istomo / ordinary_vee@yahoo.com</t>
  </si>
  <si>
    <t>QAEMAIL14112019C</t>
  </si>
  <si>
    <t>Dhyah Phetyr / dhyahphetyr90@gmail.com</t>
  </si>
  <si>
    <t>Agent seharusnya fokus dan menuliskan ID media dengan tepat yaitu dhyahphetyr90@gmail.com</t>
  </si>
  <si>
    <t>QAEMAIL14112019D</t>
  </si>
  <si>
    <t>Agent seharusnya fokus dan menuliskan ID media dengan tepat yaitu ordinary_vee@yahoo.com</t>
  </si>
  <si>
    <t>QAEMAIL14112019E</t>
  </si>
  <si>
    <t>Merry Trisnawatie / ms.merryme@gmail.com</t>
  </si>
  <si>
    <t>QAEMAIL14112019F</t>
  </si>
  <si>
    <t>Non Critical Error</t>
  </si>
  <si>
    <t>Critical Error</t>
  </si>
  <si>
    <t xml:space="preserve">1. Non Critical Error   : </t>
  </si>
  <si>
    <t xml:space="preserve">2. Critical Error  : </t>
  </si>
  <si>
    <t>KETERANGAN</t>
  </si>
  <si>
    <t xml:space="preserve">WHATSAPP </t>
  </si>
  <si>
    <t>Keterangan</t>
  </si>
  <si>
    <t>Kemampuan Bertanya</t>
  </si>
  <si>
    <t>Kejelasan Informasi &amp; Salam Penutup</t>
  </si>
  <si>
    <t>Proper Input: 
Kesesuaian Pemilihan Kategori Layanan Pertanyaan APPK</t>
  </si>
  <si>
    <t>Bobot</t>
  </si>
  <si>
    <t>Sampling</t>
  </si>
  <si>
    <t>I</t>
  </si>
  <si>
    <t>II</t>
  </si>
  <si>
    <t>III</t>
  </si>
  <si>
    <t>IV</t>
  </si>
  <si>
    <t>V</t>
  </si>
  <si>
    <t>Respon Awal</t>
  </si>
  <si>
    <t>Salam Pembuka</t>
  </si>
  <si>
    <t xml:space="preserve">Waktu Menjawab </t>
  </si>
  <si>
    <t>Nama konsumen</t>
  </si>
  <si>
    <t>Ketelitian dalam Menulis</t>
  </si>
  <si>
    <t>Penggunaan bahasa yang formal</t>
  </si>
  <si>
    <t>Verifikasi Data</t>
  </si>
  <si>
    <t>Kemampuan Analisa &amp; Ketepatan Solusi</t>
  </si>
  <si>
    <t>Proper Input: 
Kesesuaian Informasi Kontak dan Ketepatan Waktu Menutup Layanan</t>
  </si>
  <si>
    <t>Tidak melakukan</t>
  </si>
  <si>
    <t>N/A</t>
  </si>
  <si>
    <t>Tidak Bisa Diukur</t>
  </si>
  <si>
    <t>Temuan</t>
  </si>
  <si>
    <t>Rekomendasi</t>
  </si>
  <si>
    <t>TEAM LEADER</t>
  </si>
  <si>
    <t>SYA</t>
  </si>
  <si>
    <t>DAS</t>
  </si>
  <si>
    <t>MHK</t>
  </si>
  <si>
    <t>Rika Musdalilah</t>
  </si>
  <si>
    <t xml:space="preserve">Helena Kristenher Butarbutar </t>
  </si>
  <si>
    <t>Siti Nurhalisa</t>
  </si>
  <si>
    <t>Reni Pritasari</t>
  </si>
  <si>
    <t>Brilliyana Kartika Sari Dewi</t>
  </si>
  <si>
    <t>Mega Atiqah Annastasya</t>
  </si>
  <si>
    <t>Eka Saputri</t>
  </si>
  <si>
    <t>Nia Rista Albram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</si>
</sst>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5" formatCode="_(* #,##0.00_);_(* \(#,##0.00\);_(* &quot;-&quot;??_);_(@_)"/>
    <numFmt numFmtId="166" formatCode="[hh]:mm:ss"/>
    <numFmt numFmtId="167" formatCode="[$-421]General"/>
    <numFmt numFmtId="170" formatCode="[$Rp-421]#,##0.00;[Red]&quot;(&quot;[$Rp-421]#,##0.00&quot;)&quot;"/>
  </numFmts>
  <fonts count="42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u/>
      <sz val="11"/>
      <color rgb="FF002ADA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charset val="1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Play"/>
    </font>
    <font>
      <b/>
      <sz val="10"/>
      <color theme="1"/>
      <name val="Play"/>
    </font>
    <font>
      <b/>
      <sz val="10"/>
      <color theme="0"/>
      <name val="Play"/>
    </font>
    <font>
      <b/>
      <sz val="11"/>
      <color theme="0"/>
      <name val="Calibri"/>
      <family val="2"/>
    </font>
    <font>
      <b/>
      <sz val="10"/>
      <color rgb="FFFFFFFF"/>
      <name val="Play"/>
    </font>
    <font>
      <b/>
      <sz val="11"/>
      <color rgb="FFFFFFFF"/>
      <name val="Calibri"/>
      <family val="2"/>
    </font>
    <font>
      <sz val="11"/>
      <color rgb="FF000000"/>
      <name val="Calibri1"/>
    </font>
    <font>
      <sz val="11"/>
      <color rgb="FF000000"/>
      <name val="Arial"/>
      <family val="2"/>
    </font>
    <font>
      <u/>
      <sz val="11"/>
      <color indexed="30"/>
      <name val="Calibri"/>
      <family val="2"/>
      <charset val="1"/>
    </font>
    <font>
      <b/>
      <sz val="11"/>
      <color rgb="FF000000"/>
      <name val="Arial"/>
      <family val="2"/>
    </font>
    <font>
      <u/>
      <sz val="11"/>
      <color rgb="FF0563C1"/>
      <name val="Calibri1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u/>
      <sz val="11"/>
      <color rgb="FF0563C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AEABAB"/>
        <bgColor rgb="FFAEABAB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  <fill>
      <patternFill patternType="solid">
        <fgColor theme="1"/>
        <bgColor theme="1"/>
      </patternFill>
    </fill>
    <fill>
      <patternFill patternType="solid">
        <fgColor rgb="FF333F4F"/>
        <bgColor rgb="FF333F4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0CECE"/>
        <bgColor rgb="FFD0CECE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7">
    <xf numFmtId="0" fontId="0" fillId="0" borderId="0"/>
    <xf numFmtId="0" fontId="15" fillId="0" borderId="0"/>
    <xf numFmtId="9" fontId="15" fillId="0" borderId="0" applyFont="0" applyFill="0" applyBorder="0" applyAlignment="0" applyProtection="0"/>
    <xf numFmtId="0" fontId="18" fillId="0" borderId="0"/>
    <xf numFmtId="165" fontId="1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" fillId="0" borderId="0"/>
    <xf numFmtId="0" fontId="13" fillId="0" borderId="0"/>
    <xf numFmtId="0" fontId="12" fillId="0" borderId="0"/>
    <xf numFmtId="0" fontId="19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8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167" fontId="23" fillId="0" borderId="0" applyBorder="0" applyProtection="0"/>
    <xf numFmtId="0" fontId="24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7" fillId="0" borderId="0"/>
    <xf numFmtId="167" fontId="34" fillId="0" borderId="0" applyBorder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5" fillId="0" borderId="0"/>
    <xf numFmtId="0" fontId="35" fillId="0" borderId="3" applyNumberFormat="0" applyFont="0" applyAlignment="0" applyProtection="0"/>
    <xf numFmtId="0" fontId="37" fillId="17" borderId="3" applyNumberFormat="0" applyAlignment="0" applyProtection="0"/>
    <xf numFmtId="0" fontId="37" fillId="0" borderId="0" applyNumberFormat="0" applyBorder="0" applyAlignment="0" applyProtection="0"/>
    <xf numFmtId="0" fontId="35" fillId="0" borderId="3" applyNumberFormat="0" applyFont="0" applyProtection="0"/>
    <xf numFmtId="167" fontId="38" fillId="0" borderId="0" applyBorder="0" applyProtection="0"/>
    <xf numFmtId="0" fontId="39" fillId="0" borderId="0" applyNumberFormat="0" applyBorder="0" applyProtection="0">
      <alignment horizontal="center"/>
    </xf>
    <xf numFmtId="0" fontId="39" fillId="0" borderId="0" applyNumberFormat="0" applyBorder="0" applyProtection="0">
      <alignment horizontal="center" textRotation="90"/>
    </xf>
    <xf numFmtId="167" fontId="38" fillId="0" borderId="0" applyBorder="0" applyProtection="0"/>
    <xf numFmtId="0" fontId="36" fillId="0" borderId="0"/>
    <xf numFmtId="0" fontId="36" fillId="0" borderId="0"/>
    <xf numFmtId="0" fontId="24" fillId="0" borderId="0"/>
    <xf numFmtId="0" fontId="24" fillId="0" borderId="0"/>
    <xf numFmtId="0" fontId="24" fillId="0" borderId="0"/>
    <xf numFmtId="0" fontId="3" fillId="0" borderId="0"/>
    <xf numFmtId="0" fontId="3" fillId="0" borderId="0"/>
    <xf numFmtId="0" fontId="24" fillId="0" borderId="0"/>
    <xf numFmtId="0" fontId="3" fillId="0" borderId="0"/>
    <xf numFmtId="0" fontId="3" fillId="0" borderId="0"/>
    <xf numFmtId="0" fontId="18" fillId="0" borderId="0"/>
    <xf numFmtId="0" fontId="35" fillId="0" borderId="0"/>
    <xf numFmtId="167" fontId="34" fillId="0" borderId="0" applyBorder="0" applyProtection="0"/>
    <xf numFmtId="0" fontId="24" fillId="0" borderId="0"/>
    <xf numFmtId="0" fontId="40" fillId="0" borderId="0" applyNumberFormat="0" applyBorder="0" applyProtection="0"/>
    <xf numFmtId="170" fontId="40" fillId="0" borderId="0" applyBorder="0" applyProtection="0"/>
    <xf numFmtId="0" fontId="41" fillId="0" borderId="0" applyNumberFormat="0" applyFill="0" applyBorder="0" applyAlignment="0" applyProtection="0"/>
    <xf numFmtId="0" fontId="2" fillId="0" borderId="0"/>
    <xf numFmtId="0" fontId="19" fillId="0" borderId="0"/>
  </cellStyleXfs>
  <cellXfs count="114">
    <xf numFmtId="0" fontId="0" fillId="0" borderId="0" xfId="0"/>
    <xf numFmtId="0" fontId="17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vertical="center" wrapText="1"/>
    </xf>
    <xf numFmtId="21" fontId="17" fillId="3" borderId="2" xfId="0" applyNumberFormat="1" applyFont="1" applyFill="1" applyBorder="1" applyAlignment="1">
      <alignment horizontal="center" vertical="center" wrapText="1"/>
    </xf>
    <xf numFmtId="166" fontId="17" fillId="3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5" fontId="0" fillId="5" borderId="2" xfId="0" applyNumberFormat="1" applyFill="1" applyBorder="1" applyAlignment="1">
      <alignment horizontal="center" vertical="center" wrapText="1"/>
    </xf>
    <xf numFmtId="18" fontId="0" fillId="5" borderId="2" xfId="0" applyNumberForma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15" fontId="0" fillId="3" borderId="2" xfId="0" applyNumberFormat="1" applyFill="1" applyBorder="1" applyAlignment="1">
      <alignment horizontal="center" vertical="center" wrapText="1"/>
    </xf>
    <xf numFmtId="18" fontId="0" fillId="3" borderId="2" xfId="0" applyNumberForma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0" borderId="2" xfId="0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15" fontId="0" fillId="6" borderId="2" xfId="0" applyNumberFormat="1" applyFill="1" applyBorder="1" applyAlignment="1">
      <alignment horizontal="center" vertical="center" wrapText="1"/>
    </xf>
    <xf numFmtId="18" fontId="0" fillId="6" borderId="2" xfId="0" applyNumberForma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16" fillId="0" borderId="0" xfId="0" applyFont="1"/>
    <xf numFmtId="0" fontId="9" fillId="4" borderId="0" xfId="24" applyFill="1"/>
    <xf numFmtId="0" fontId="8" fillId="0" borderId="0" xfId="24" applyFont="1"/>
    <xf numFmtId="0" fontId="9" fillId="15" borderId="0" xfId="24" applyFill="1"/>
    <xf numFmtId="0" fontId="7" fillId="0" borderId="0" xfId="27"/>
    <xf numFmtId="0" fontId="26" fillId="0" borderId="0" xfId="27" applyFont="1"/>
    <xf numFmtId="0" fontId="26" fillId="0" borderId="0" xfId="27" applyFont="1" applyAlignment="1">
      <alignment horizontal="right"/>
    </xf>
    <xf numFmtId="0" fontId="28" fillId="0" borderId="0" xfId="27" applyFont="1"/>
    <xf numFmtId="0" fontId="26" fillId="0" borderId="0" xfId="27" applyFont="1" applyAlignment="1">
      <alignment vertical="center"/>
    </xf>
    <xf numFmtId="0" fontId="28" fillId="0" borderId="0" xfId="27" applyFont="1" applyAlignment="1">
      <alignment vertical="center"/>
    </xf>
    <xf numFmtId="0" fontId="26" fillId="0" borderId="0" xfId="27" applyFont="1" applyAlignment="1">
      <alignment vertical="top" wrapText="1"/>
    </xf>
    <xf numFmtId="0" fontId="28" fillId="0" borderId="0" xfId="27" applyFont="1" applyAlignment="1">
      <alignment vertical="top" wrapText="1"/>
    </xf>
    <xf numFmtId="0" fontId="28" fillId="0" borderId="0" xfId="27" quotePrefix="1" applyFont="1" applyAlignment="1">
      <alignment vertical="top" wrapText="1"/>
    </xf>
    <xf numFmtId="0" fontId="33" fillId="14" borderId="0" xfId="27" applyFont="1" applyFill="1" applyAlignment="1">
      <alignment vertical="top"/>
    </xf>
    <xf numFmtId="0" fontId="32" fillId="14" borderId="0" xfId="27" applyFont="1" applyFill="1" applyAlignment="1">
      <alignment vertical="top"/>
    </xf>
    <xf numFmtId="9" fontId="31" fillId="13" borderId="0" xfId="27" applyNumberFormat="1" applyFont="1" applyFill="1" applyAlignment="1">
      <alignment horizontal="center" vertical="center"/>
    </xf>
    <xf numFmtId="9" fontId="30" fillId="13" borderId="0" xfId="27" applyNumberFormat="1" applyFont="1" applyFill="1" applyAlignment="1">
      <alignment horizontal="center" vertical="center"/>
    </xf>
    <xf numFmtId="0" fontId="28" fillId="11" borderId="0" xfId="27" applyFont="1" applyFill="1" applyAlignment="1">
      <alignment vertical="center" wrapText="1"/>
    </xf>
    <xf numFmtId="9" fontId="28" fillId="0" borderId="0" xfId="27" applyNumberFormat="1" applyFont="1"/>
    <xf numFmtId="9" fontId="31" fillId="13" borderId="3" xfId="27" applyNumberFormat="1" applyFont="1" applyFill="1" applyBorder="1"/>
    <xf numFmtId="9" fontId="30" fillId="13" borderId="3" xfId="27" applyNumberFormat="1" applyFont="1" applyFill="1" applyBorder="1"/>
    <xf numFmtId="9" fontId="30" fillId="13" borderId="3" xfId="27" applyNumberFormat="1" applyFont="1" applyFill="1" applyBorder="1" applyAlignment="1">
      <alignment horizontal="center"/>
    </xf>
    <xf numFmtId="9" fontId="29" fillId="9" borderId="3" xfId="27" applyNumberFormat="1" applyFont="1" applyFill="1" applyBorder="1" applyAlignment="1">
      <alignment horizontal="center"/>
    </xf>
    <xf numFmtId="0" fontId="30" fillId="0" borderId="0" xfId="27" applyFont="1"/>
    <xf numFmtId="9" fontId="29" fillId="0" borderId="3" xfId="27" applyNumberFormat="1" applyFont="1" applyBorder="1" applyAlignment="1">
      <alignment horizontal="center"/>
    </xf>
    <xf numFmtId="9" fontId="28" fillId="10" borderId="4" xfId="27" applyNumberFormat="1" applyFont="1" applyFill="1" applyBorder="1" applyAlignment="1">
      <alignment horizontal="center" vertical="center" wrapText="1"/>
    </xf>
    <xf numFmtId="0" fontId="28" fillId="0" borderId="3" xfId="27" applyFont="1" applyBorder="1" applyAlignment="1">
      <alignment horizontal="left" vertical="center" wrapText="1"/>
    </xf>
    <xf numFmtId="0" fontId="28" fillId="11" borderId="3" xfId="27" applyFont="1" applyFill="1" applyBorder="1" applyAlignment="1">
      <alignment horizontal="left" vertical="center" wrapText="1"/>
    </xf>
    <xf numFmtId="0" fontId="27" fillId="9" borderId="12" xfId="27" applyFont="1" applyFill="1" applyBorder="1" applyAlignment="1">
      <alignment horizontal="center"/>
    </xf>
    <xf numFmtId="0" fontId="29" fillId="9" borderId="0" xfId="27" applyFont="1" applyFill="1" applyAlignment="1">
      <alignment horizontal="center"/>
    </xf>
    <xf numFmtId="9" fontId="29" fillId="9" borderId="0" xfId="27" applyNumberFormat="1" applyFont="1" applyFill="1" applyAlignment="1">
      <alignment horizontal="center"/>
    </xf>
    <xf numFmtId="0" fontId="27" fillId="9" borderId="10" xfId="27" applyFont="1" applyFill="1" applyBorder="1" applyAlignment="1">
      <alignment horizontal="center"/>
    </xf>
    <xf numFmtId="0" fontId="27" fillId="12" borderId="9" xfId="27" applyFont="1" applyFill="1" applyBorder="1" applyAlignment="1">
      <alignment horizontal="center"/>
    </xf>
    <xf numFmtId="0" fontId="29" fillId="12" borderId="0" xfId="27" applyFont="1" applyFill="1" applyAlignment="1">
      <alignment horizontal="center"/>
    </xf>
    <xf numFmtId="9" fontId="29" fillId="12" borderId="0" xfId="27" applyNumberFormat="1" applyFont="1" applyFill="1" applyAlignment="1">
      <alignment horizontal="center"/>
    </xf>
    <xf numFmtId="0" fontId="28" fillId="12" borderId="3" xfId="27" applyFont="1" applyFill="1" applyBorder="1" applyAlignment="1">
      <alignment vertical="center" wrapText="1"/>
    </xf>
    <xf numFmtId="0" fontId="28" fillId="12" borderId="11" xfId="27" applyFont="1" applyFill="1" applyBorder="1" applyAlignment="1">
      <alignment vertical="center" wrapText="1"/>
    </xf>
    <xf numFmtId="9" fontId="29" fillId="0" borderId="6" xfId="27" applyNumberFormat="1" applyFont="1" applyBorder="1" applyAlignment="1">
      <alignment horizontal="center"/>
    </xf>
    <xf numFmtId="9" fontId="28" fillId="10" borderId="4" xfId="27" applyNumberFormat="1" applyFont="1" applyFill="1" applyBorder="1" applyAlignment="1">
      <alignment horizontal="center" wrapText="1"/>
    </xf>
    <xf numFmtId="9" fontId="28" fillId="10" borderId="0" xfId="27" applyNumberFormat="1" applyFont="1" applyFill="1" applyAlignment="1">
      <alignment horizontal="center" wrapText="1"/>
    </xf>
    <xf numFmtId="0" fontId="28" fillId="0" borderId="6" xfId="27" applyFont="1" applyBorder="1" applyAlignment="1">
      <alignment horizontal="left" vertical="center" wrapText="1"/>
    </xf>
    <xf numFmtId="0" fontId="27" fillId="0" borderId="6" xfId="27" applyFont="1" applyBorder="1" applyAlignment="1">
      <alignment horizontal="center"/>
    </xf>
    <xf numFmtId="0" fontId="29" fillId="0" borderId="6" xfId="27" applyFont="1" applyBorder="1" applyAlignment="1">
      <alignment horizontal="center"/>
    </xf>
    <xf numFmtId="0" fontId="27" fillId="9" borderId="9" xfId="27" applyFont="1" applyFill="1" applyBorder="1" applyAlignment="1">
      <alignment horizontal="center"/>
    </xf>
    <xf numFmtId="0" fontId="27" fillId="7" borderId="3" xfId="27" applyFont="1" applyFill="1" applyBorder="1" applyAlignment="1">
      <alignment horizontal="center"/>
    </xf>
    <xf numFmtId="0" fontId="29" fillId="7" borderId="3" xfId="27" applyFont="1" applyFill="1" applyBorder="1" applyAlignment="1">
      <alignment horizontal="center"/>
    </xf>
    <xf numFmtId="0" fontId="29" fillId="7" borderId="8" xfId="27" applyFont="1" applyFill="1" applyBorder="1" applyAlignment="1">
      <alignment horizontal="center" vertical="center"/>
    </xf>
    <xf numFmtId="0" fontId="29" fillId="7" borderId="7" xfId="27" applyFont="1" applyFill="1" applyBorder="1" applyAlignment="1">
      <alignment horizontal="center" vertical="center"/>
    </xf>
    <xf numFmtId="9" fontId="7" fillId="0" borderId="0" xfId="27" applyNumberFormat="1"/>
    <xf numFmtId="10" fontId="30" fillId="13" borderId="0" xfId="27" applyNumberFormat="1" applyFont="1" applyFill="1" applyAlignment="1">
      <alignment horizontal="center" vertical="center"/>
    </xf>
    <xf numFmtId="0" fontId="29" fillId="0" borderId="3" xfId="27" applyFont="1" applyBorder="1" applyAlignment="1">
      <alignment horizontal="center"/>
    </xf>
    <xf numFmtId="0" fontId="27" fillId="0" borderId="3" xfId="27" applyFont="1" applyBorder="1" applyAlignment="1">
      <alignment horizontal="center"/>
    </xf>
    <xf numFmtId="0" fontId="29" fillId="4" borderId="3" xfId="27" applyFont="1" applyFill="1" applyBorder="1" applyAlignment="1">
      <alignment horizontal="center"/>
    </xf>
    <xf numFmtId="0" fontId="29" fillId="4" borderId="6" xfId="27" applyFont="1" applyFill="1" applyBorder="1" applyAlignment="1">
      <alignment horizontal="center"/>
    </xf>
    <xf numFmtId="0" fontId="27" fillId="4" borderId="3" xfId="27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" fillId="16" borderId="15" xfId="0" applyFont="1" applyFill="1" applyBorder="1" applyAlignment="1">
      <alignment horizontal="center" vertical="center"/>
    </xf>
    <xf numFmtId="0" fontId="16" fillId="16" borderId="16" xfId="0" applyFont="1" applyFill="1" applyBorder="1" applyAlignment="1">
      <alignment horizontal="center" vertical="center"/>
    </xf>
    <xf numFmtId="0" fontId="16" fillId="16" borderId="17" xfId="0" applyFont="1" applyFill="1" applyBorder="1" applyAlignment="1">
      <alignment horizontal="center" vertical="center"/>
    </xf>
    <xf numFmtId="0" fontId="16" fillId="16" borderId="18" xfId="0" applyFont="1" applyFill="1" applyBorder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16" fillId="16" borderId="19" xfId="0" applyFont="1" applyFill="1" applyBorder="1" applyAlignment="1">
      <alignment horizontal="center" vertical="center"/>
    </xf>
    <xf numFmtId="0" fontId="16" fillId="16" borderId="20" xfId="0" applyFont="1" applyFill="1" applyBorder="1" applyAlignment="1">
      <alignment horizontal="center" vertical="center"/>
    </xf>
    <xf numFmtId="0" fontId="16" fillId="16" borderId="14" xfId="0" applyFont="1" applyFill="1" applyBorder="1" applyAlignment="1">
      <alignment horizontal="center" vertical="center"/>
    </xf>
    <xf numFmtId="0" fontId="16" fillId="16" borderId="2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15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6" fillId="15" borderId="13" xfId="0" applyFont="1" applyFill="1" applyBorder="1" applyAlignment="1">
      <alignment horizontal="center"/>
    </xf>
    <xf numFmtId="0" fontId="1" fillId="16" borderId="2" xfId="10" applyFont="1" applyFill="1" applyBorder="1" applyAlignment="1">
      <alignment horizontal="center" vertical="center"/>
    </xf>
    <xf numFmtId="0" fontId="1" fillId="2" borderId="2" xfId="1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16" fillId="4" borderId="21" xfId="0" applyFont="1" applyFill="1" applyBorder="1" applyAlignment="1">
      <alignment horizontal="center" vertical="center"/>
    </xf>
    <xf numFmtId="0" fontId="16" fillId="0" borderId="0" xfId="24" applyFont="1" applyAlignment="1">
      <alignment horizontal="left"/>
    </xf>
    <xf numFmtId="0" fontId="29" fillId="8" borderId="5" xfId="27" applyFont="1" applyFill="1" applyBorder="1" applyAlignment="1">
      <alignment horizontal="left" vertical="center" wrapText="1"/>
    </xf>
    <xf numFmtId="0" fontId="25" fillId="0" borderId="6" xfId="27" applyFont="1" applyBorder="1"/>
    <xf numFmtId="9" fontId="29" fillId="8" borderId="8" xfId="27" applyNumberFormat="1" applyFont="1" applyFill="1" applyBorder="1" applyAlignment="1">
      <alignment horizontal="center" vertical="center" wrapText="1"/>
    </xf>
    <xf numFmtId="9" fontId="29" fillId="8" borderId="5" xfId="27" applyNumberFormat="1" applyFont="1" applyFill="1" applyBorder="1" applyAlignment="1">
      <alignment horizontal="center" vertical="center" wrapText="1"/>
    </xf>
  </cellXfs>
  <cellStyles count="67">
    <cellStyle name="cf1" xfId="40" xr:uid="{00000000-0005-0000-0000-000000000000}"/>
    <cellStyle name="cf2" xfId="41" xr:uid="{00000000-0005-0000-0000-000001000000}"/>
    <cellStyle name="cf3" xfId="42" xr:uid="{00000000-0005-0000-0000-000002000000}"/>
    <cellStyle name="Comma 2" xfId="4" xr:uid="{00000000-0005-0000-0000-000002000000}"/>
    <cellStyle name="Comma 2 2" xfId="8" xr:uid="{00000000-0005-0000-0000-000003000000}"/>
    <cellStyle name="Comma 2 3" xfId="14" xr:uid="{00000000-0005-0000-0000-000004000000}"/>
    <cellStyle name="ConditionalStyle_1" xfId="43" xr:uid="{00000000-0005-0000-0000-000003000000}"/>
    <cellStyle name="Excel Built-in Hyperlink" xfId="44" xr:uid="{00000000-0005-0000-0000-000004000000}"/>
    <cellStyle name="Excel Built-in Normal" xfId="21" xr:uid="{00000000-0005-0000-0000-000005000000}"/>
    <cellStyle name="Excel Built-in Normal 2" xfId="22" xr:uid="{00000000-0005-0000-0000-000006000000}"/>
    <cellStyle name="Heading" xfId="45" xr:uid="{00000000-0005-0000-0000-000007000000}"/>
    <cellStyle name="Heading1" xfId="46" xr:uid="{00000000-0005-0000-0000-000008000000}"/>
    <cellStyle name="Hyperlink" xfId="64" xr:uid="{2418C482-B724-4A98-AAE9-51FCEDD404E0}"/>
    <cellStyle name="Hyperlink 2" xfId="5" xr:uid="{00000000-0005-0000-0000-000008000000}"/>
    <cellStyle name="Hyperlink 2 2" xfId="48" xr:uid="{00000000-0005-0000-0000-00000A000000}"/>
    <cellStyle name="Hyperlink 2 3" xfId="47" xr:uid="{00000000-0005-0000-0000-000009000000}"/>
    <cellStyle name="Hyperlink 3" xfId="49" xr:uid="{00000000-0005-0000-0000-00000B000000}"/>
    <cellStyle name="Normal" xfId="0" builtinId="0"/>
    <cellStyle name="Normal 2" xfId="1" xr:uid="{00000000-0005-0000-0000-00000A000000}"/>
    <cellStyle name="Normal 2 2" xfId="3" xr:uid="{00000000-0005-0000-0000-00000B000000}"/>
    <cellStyle name="Normal 2 2 2" xfId="11" xr:uid="{00000000-0005-0000-0000-00000C000000}"/>
    <cellStyle name="Normal 2 2 2 2" xfId="15" xr:uid="{00000000-0005-0000-0000-00000D000000}"/>
    <cellStyle name="Normal 2 2 3" xfId="50" xr:uid="{00000000-0005-0000-0000-00000E000000}"/>
    <cellStyle name="Normal 2 3" xfId="6" xr:uid="{00000000-0005-0000-0000-00000E000000}"/>
    <cellStyle name="Normal 2 4" xfId="10" xr:uid="{00000000-0005-0000-0000-00000F000000}"/>
    <cellStyle name="Normal 2 4 2" xfId="17" xr:uid="{00000000-0005-0000-0000-000010000000}"/>
    <cellStyle name="Normal 2 4 2 2" xfId="20" xr:uid="{00000000-0005-0000-0000-000011000000}"/>
    <cellStyle name="Normal 2 4 2 2 2" xfId="28" xr:uid="{F3A1CAAC-1894-4516-8E65-1EE76A08DAB7}"/>
    <cellStyle name="Normal 2 4 2 2 2 2" xfId="52" xr:uid="{00000000-0005-0000-0000-000013000000}"/>
    <cellStyle name="Normal 2 4 2 2 2 3" xfId="53" xr:uid="{00000000-0005-0000-0000-000014000000}"/>
    <cellStyle name="Normal 2 4 2 2 2 3 2" xfId="54" xr:uid="{00000000-0005-0000-0000-000015000000}"/>
    <cellStyle name="Normal 2 4 2 2 3" xfId="55" xr:uid="{00000000-0005-0000-0000-000016000000}"/>
    <cellStyle name="Normal 2 4 2 2 4" xfId="56" xr:uid="{00000000-0005-0000-0000-000017000000}"/>
    <cellStyle name="Normal 2 4 2 2 4 2" xfId="57" xr:uid="{00000000-0005-0000-0000-000018000000}"/>
    <cellStyle name="Normal 2 4 2 3" xfId="51" xr:uid="{00000000-0005-0000-0000-000010000000}"/>
    <cellStyle name="Normal 2 4 3" xfId="25" xr:uid="{25874533-DA66-41C7-AC32-080F93B6AEBB}"/>
    <cellStyle name="Normal 2 5" xfId="23" xr:uid="{CF12ABB5-C575-42B3-8072-22428BB86F56}"/>
    <cellStyle name="Normal 2 6" xfId="30" xr:uid="{936F868A-A77B-4BC3-977D-A3390E348A65}"/>
    <cellStyle name="Normal 2 6 2" xfId="31" xr:uid="{51AF05E0-2375-4878-8BB7-75977A086979}"/>
    <cellStyle name="Normal 2 6 2 2" xfId="36" xr:uid="{8EB6DD64-8030-4B8A-9E3D-707E89391B95}"/>
    <cellStyle name="Normal 2 7" xfId="34" xr:uid="{F80D3114-47C5-479F-83A1-EEC4BBDEA54C}"/>
    <cellStyle name="Normal 2 8" xfId="37" xr:uid="{38A2C56A-A7A4-4010-9D16-6D9B56F765C3}"/>
    <cellStyle name="Normal 2 9" xfId="66" xr:uid="{C19B37FA-2B03-4E99-B10D-7780E0FAC95C}"/>
    <cellStyle name="Normal 3" xfId="9" xr:uid="{00000000-0005-0000-0000-000012000000}"/>
    <cellStyle name="Normal 3 2" xfId="18" xr:uid="{00000000-0005-0000-0000-000013000000}"/>
    <cellStyle name="Normal 3 3" xfId="32" xr:uid="{B1C18A8E-2CAC-4960-A0FA-431E8280559E}"/>
    <cellStyle name="Normal 3 4" xfId="35" xr:uid="{E9BE05D4-EEFD-4900-9CDA-B84C11BB35EC}"/>
    <cellStyle name="Normal 3 5" xfId="58" xr:uid="{00000000-0005-0000-0000-000019000000}"/>
    <cellStyle name="Normal 4" xfId="12" xr:uid="{00000000-0005-0000-0000-000014000000}"/>
    <cellStyle name="Normal 5" xfId="16" xr:uid="{00000000-0005-0000-0000-000015000000}"/>
    <cellStyle name="Normal 5 2" xfId="19" xr:uid="{00000000-0005-0000-0000-000016000000}"/>
    <cellStyle name="Normal 5 2 2" xfId="61" xr:uid="{00000000-0005-0000-0000-00001D000000}"/>
    <cellStyle name="Normal 5 2 3" xfId="60" xr:uid="{00000000-0005-0000-0000-00001C000000}"/>
    <cellStyle name="Normal 5 3" xfId="59" xr:uid="{00000000-0005-0000-0000-00001B000000}"/>
    <cellStyle name="Normal 6" xfId="27" xr:uid="{9C562A18-9217-4F74-B858-51AFF57E1149}"/>
    <cellStyle name="Normal 6 2" xfId="65" xr:uid="{C524321E-6637-4A6D-B9B5-C1DCDC5ED861}"/>
    <cellStyle name="Normal 7" xfId="24" xr:uid="{AA3EF482-1F36-4725-A772-507AD3B30AAF}"/>
    <cellStyle name="Normal 7 2" xfId="29" xr:uid="{96CC1FC9-5121-49B6-B46D-1FE7CB2D307E}"/>
    <cellStyle name="Normal 7 3" xfId="33" xr:uid="{97B6CBDD-A79D-475E-A15B-6E05F2D2BDA5}"/>
    <cellStyle name="Normal 7 4" xfId="38" xr:uid="{558A1E14-D77D-4E77-B67A-B42AC47CCEB0}"/>
    <cellStyle name="Normal 8" xfId="39" xr:uid="{00000000-0005-0000-0000-00005F000000}"/>
    <cellStyle name="Percent 2" xfId="2" xr:uid="{00000000-0005-0000-0000-000018000000}"/>
    <cellStyle name="Percent 2 2" xfId="7" xr:uid="{00000000-0005-0000-0000-000019000000}"/>
    <cellStyle name="Percent 2 3" xfId="13" xr:uid="{00000000-0005-0000-0000-00001A000000}"/>
    <cellStyle name="Percent 2 4" xfId="26" xr:uid="{6A741E4C-502C-4FA2-BB52-F9FCC50DB5AE}"/>
    <cellStyle name="Result" xfId="62" xr:uid="{00000000-0005-0000-0000-00001E000000}"/>
    <cellStyle name="Result2" xfId="63" xr:uid="{00000000-0005-0000-0000-00001F000000}"/>
  </cellStyles>
  <dxfs count="0"/>
  <tableStyles count="0" defaultTableStyle="TableStyleMedium2" defaultPivotStyle="PivotStyleLight16"/>
  <colors>
    <mruColors>
      <color rgb="FF0000FF"/>
      <color rgb="FFFD41F4"/>
      <color rgb="FFF26ADF"/>
      <color rgb="FFFF99CC"/>
      <color rgb="FFFFB9FF"/>
      <color rgb="FFFFCCFF"/>
      <color rgb="FFF6B99E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D2:O16"/>
  <sheetViews>
    <sheetView zoomScale="98" zoomScaleNormal="98" workbookViewId="0">
      <selection activeCell="D1" sqref="D1"/>
    </sheetView>
  </sheetViews>
  <sheetFormatPr defaultRowHeight="14.5"/>
  <cols>
    <col min="5" max="5" width="9.1796875" customWidth="1"/>
    <col min="6" max="6" width="9.81640625" customWidth="1"/>
    <col min="8" max="8" width="14.54296875" customWidth="1"/>
  </cols>
  <sheetData>
    <row r="2" spans="4:15" ht="15" customHeight="1">
      <c r="G2" s="94"/>
    </row>
    <row r="3" spans="4:15" s="27" customFormat="1">
      <c r="D3" s="95" t="s">
        <v>217</v>
      </c>
      <c r="E3" s="95"/>
      <c r="F3" s="95"/>
      <c r="G3" s="94"/>
      <c r="H3" s="97" t="s">
        <v>243</v>
      </c>
      <c r="I3" s="97"/>
      <c r="J3" s="97"/>
    </row>
    <row r="4" spans="4:15" ht="15" customHeight="1">
      <c r="D4" s="96" t="s">
        <v>247</v>
      </c>
      <c r="E4" s="96"/>
      <c r="F4" s="96"/>
      <c r="G4" s="94"/>
      <c r="H4" s="100" t="s">
        <v>245</v>
      </c>
      <c r="I4" s="101"/>
      <c r="J4" s="102"/>
    </row>
    <row r="5" spans="4:15">
      <c r="D5" s="96" t="s">
        <v>248</v>
      </c>
      <c r="E5" s="96"/>
      <c r="F5" s="96"/>
      <c r="G5" s="94"/>
      <c r="H5" s="103"/>
      <c r="I5" s="104"/>
      <c r="J5" s="105"/>
    </row>
    <row r="6" spans="4:15">
      <c r="D6" s="96" t="s">
        <v>249</v>
      </c>
      <c r="E6" s="96"/>
      <c r="F6" s="96"/>
      <c r="G6" s="94"/>
      <c r="H6" s="106"/>
      <c r="I6" s="107"/>
      <c r="J6" s="108"/>
    </row>
    <row r="7" spans="4:15">
      <c r="D7" s="99" t="s">
        <v>250</v>
      </c>
      <c r="E7" s="99"/>
      <c r="F7" s="99"/>
      <c r="G7" s="94"/>
      <c r="H7" s="82" t="s">
        <v>246</v>
      </c>
      <c r="I7" s="83"/>
      <c r="J7" s="84"/>
    </row>
    <row r="8" spans="4:15">
      <c r="D8" s="98" t="s">
        <v>251</v>
      </c>
      <c r="E8" s="98"/>
      <c r="F8" s="98"/>
      <c r="G8" s="94"/>
      <c r="H8" s="85" t="s">
        <v>244</v>
      </c>
      <c r="I8" s="86"/>
      <c r="J8" s="87"/>
    </row>
    <row r="9" spans="4:15">
      <c r="D9" s="98" t="s">
        <v>252</v>
      </c>
      <c r="E9" s="98"/>
      <c r="F9" s="98"/>
      <c r="G9" s="94"/>
      <c r="H9" s="88"/>
      <c r="I9" s="89"/>
      <c r="J9" s="90"/>
    </row>
    <row r="10" spans="4:15">
      <c r="D10" s="98" t="s">
        <v>253</v>
      </c>
      <c r="E10" s="98"/>
      <c r="F10" s="98"/>
      <c r="G10" s="94"/>
      <c r="H10" s="88"/>
      <c r="I10" s="89"/>
      <c r="J10" s="90"/>
    </row>
    <row r="11" spans="4:15">
      <c r="D11" s="98" t="s">
        <v>254</v>
      </c>
      <c r="E11" s="98"/>
      <c r="F11" s="98"/>
      <c r="G11" s="94"/>
      <c r="H11" s="91"/>
      <c r="I11" s="92"/>
      <c r="J11" s="93"/>
    </row>
    <row r="16" spans="4:15">
      <c r="O16" s="27"/>
    </row>
  </sheetData>
  <mergeCells count="14">
    <mergeCell ref="H7:J7"/>
    <mergeCell ref="H8:J11"/>
    <mergeCell ref="G2:G11"/>
    <mergeCell ref="D3:F3"/>
    <mergeCell ref="D4:F4"/>
    <mergeCell ref="H3:J3"/>
    <mergeCell ref="D5:F5"/>
    <mergeCell ref="D8:F8"/>
    <mergeCell ref="D7:F7"/>
    <mergeCell ref="D6:F6"/>
    <mergeCell ref="D11:F11"/>
    <mergeCell ref="D9:F9"/>
    <mergeCell ref="D10:F10"/>
    <mergeCell ref="H4:J6"/>
  </mergeCells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0C0"/>
  </sheetPr>
  <dimension ref="A1:O45"/>
  <sheetViews>
    <sheetView zoomScaleNormal="100" workbookViewId="0">
      <selection activeCell="C22" sqref="C22"/>
    </sheetView>
  </sheetViews>
  <sheetFormatPr defaultRowHeight="44.25" customHeight="1"/>
  <cols>
    <col min="1" max="1" width="5.81640625" customWidth="1"/>
    <col min="2" max="2" width="38.1796875" customWidth="1"/>
    <col min="3" max="3" width="36.81640625" customWidth="1"/>
    <col min="4" max="4" width="17.453125" customWidth="1"/>
    <col min="5" max="5" width="30.54296875" customWidth="1"/>
    <col min="6" max="6" width="45.1796875" style="7" customWidth="1"/>
    <col min="7" max="7" width="17.453125" customWidth="1"/>
    <col min="8" max="8" width="19.54296875" customWidth="1"/>
    <col min="9" max="9" width="10.7265625" customWidth="1"/>
    <col min="11" max="11" width="52.453125" customWidth="1"/>
    <col min="12" max="12" width="61.1796875" customWidth="1"/>
    <col min="13" max="13" width="53.1796875" customWidth="1"/>
    <col min="15" max="15" width="12.81640625" bestFit="1" customWidth="1"/>
  </cols>
  <sheetData>
    <row r="1" spans="1:15" ht="27.75" customHeight="1">
      <c r="A1" s="1" t="s">
        <v>2</v>
      </c>
      <c r="B1" s="2" t="s">
        <v>3</v>
      </c>
      <c r="C1" s="2" t="s">
        <v>0</v>
      </c>
      <c r="D1" s="2" t="s">
        <v>4</v>
      </c>
      <c r="E1" s="2" t="s">
        <v>5</v>
      </c>
      <c r="F1" s="2" t="s">
        <v>6</v>
      </c>
      <c r="G1" s="3" t="s">
        <v>7</v>
      </c>
      <c r="H1" s="3" t="s">
        <v>8</v>
      </c>
      <c r="I1" s="4" t="s">
        <v>9</v>
      </c>
      <c r="J1" s="5" t="s">
        <v>10</v>
      </c>
      <c r="K1" s="2" t="s">
        <v>11</v>
      </c>
      <c r="L1" s="2" t="s">
        <v>12</v>
      </c>
      <c r="M1" s="1" t="s">
        <v>13</v>
      </c>
      <c r="N1" s="2" t="s">
        <v>14</v>
      </c>
      <c r="O1" s="9" t="s">
        <v>15</v>
      </c>
    </row>
    <row r="2" spans="1:15" s="7" customFormat="1" ht="57.75" hidden="1" customHeight="1">
      <c r="A2" s="19">
        <v>1</v>
      </c>
      <c r="B2" s="10" t="s">
        <v>37</v>
      </c>
      <c r="C2" s="10" t="s">
        <v>18</v>
      </c>
      <c r="D2" s="10" t="s">
        <v>19</v>
      </c>
      <c r="E2" s="10" t="s">
        <v>32</v>
      </c>
      <c r="F2" s="10" t="s">
        <v>38</v>
      </c>
      <c r="G2" s="11">
        <v>43759</v>
      </c>
      <c r="H2" s="11">
        <v>43754</v>
      </c>
      <c r="I2" s="12">
        <v>0.60972222222222217</v>
      </c>
      <c r="J2" s="10"/>
      <c r="K2" s="10" t="s">
        <v>39</v>
      </c>
      <c r="L2" s="10" t="s">
        <v>40</v>
      </c>
      <c r="M2" s="10" t="s">
        <v>41</v>
      </c>
      <c r="N2" s="10" t="s">
        <v>42</v>
      </c>
      <c r="O2" s="10" t="s">
        <v>43</v>
      </c>
    </row>
    <row r="3" spans="1:15" s="7" customFormat="1" ht="57.75" hidden="1" customHeight="1">
      <c r="A3" s="19">
        <v>2</v>
      </c>
      <c r="B3" s="10" t="s">
        <v>44</v>
      </c>
      <c r="C3" s="10" t="s">
        <v>45</v>
      </c>
      <c r="D3" s="10" t="s">
        <v>19</v>
      </c>
      <c r="E3" s="10" t="s">
        <v>32</v>
      </c>
      <c r="F3" s="10" t="s">
        <v>38</v>
      </c>
      <c r="G3" s="11">
        <v>43759</v>
      </c>
      <c r="H3" s="11">
        <v>43754</v>
      </c>
      <c r="I3" s="12">
        <v>0.60972222222222217</v>
      </c>
      <c r="J3" s="10"/>
      <c r="K3" s="10" t="s">
        <v>46</v>
      </c>
      <c r="L3" s="10" t="s">
        <v>47</v>
      </c>
      <c r="M3" s="10" t="s">
        <v>41</v>
      </c>
      <c r="N3" s="10" t="s">
        <v>42</v>
      </c>
      <c r="O3" s="10" t="s">
        <v>43</v>
      </c>
    </row>
    <row r="4" spans="1:15" s="7" customFormat="1" ht="57.75" hidden="1" customHeight="1">
      <c r="A4" s="19">
        <v>3</v>
      </c>
      <c r="B4" s="10" t="s">
        <v>48</v>
      </c>
      <c r="C4" s="10" t="s">
        <v>18</v>
      </c>
      <c r="D4" s="10" t="s">
        <v>19</v>
      </c>
      <c r="E4" s="10" t="s">
        <v>49</v>
      </c>
      <c r="F4" s="10" t="s">
        <v>50</v>
      </c>
      <c r="G4" s="11">
        <v>43759</v>
      </c>
      <c r="H4" s="11">
        <v>43754</v>
      </c>
      <c r="I4" s="12">
        <v>0.43124999999999997</v>
      </c>
      <c r="J4" s="10"/>
      <c r="K4" s="10" t="s">
        <v>51</v>
      </c>
      <c r="L4" s="10" t="s">
        <v>52</v>
      </c>
      <c r="M4" s="10" t="s">
        <v>41</v>
      </c>
      <c r="N4" s="10" t="s">
        <v>42</v>
      </c>
      <c r="O4" s="10" t="s">
        <v>43</v>
      </c>
    </row>
    <row r="5" spans="1:15" s="7" customFormat="1" ht="57.75" hidden="1" customHeight="1">
      <c r="A5" s="19">
        <v>4</v>
      </c>
      <c r="B5" s="10" t="s">
        <v>53</v>
      </c>
      <c r="C5" s="10" t="s">
        <v>18</v>
      </c>
      <c r="D5" s="10" t="s">
        <v>19</v>
      </c>
      <c r="E5" s="10" t="s">
        <v>49</v>
      </c>
      <c r="F5" s="10" t="s">
        <v>54</v>
      </c>
      <c r="G5" s="11">
        <v>43759</v>
      </c>
      <c r="H5" s="11">
        <v>43754</v>
      </c>
      <c r="I5" s="12">
        <v>0.64722222222222225</v>
      </c>
      <c r="J5" s="10"/>
      <c r="K5" s="10" t="s">
        <v>51</v>
      </c>
      <c r="L5" s="10" t="s">
        <v>52</v>
      </c>
      <c r="M5" s="10" t="s">
        <v>41</v>
      </c>
      <c r="N5" s="10" t="s">
        <v>42</v>
      </c>
      <c r="O5" s="10" t="s">
        <v>43</v>
      </c>
    </row>
    <row r="6" spans="1:15" s="17" customFormat="1" ht="48" customHeight="1">
      <c r="A6" s="13">
        <v>1</v>
      </c>
      <c r="B6" s="14" t="s">
        <v>55</v>
      </c>
      <c r="C6" s="14" t="s">
        <v>23</v>
      </c>
      <c r="D6" s="14" t="s">
        <v>19</v>
      </c>
      <c r="E6" s="14" t="s">
        <v>31</v>
      </c>
      <c r="F6" s="14" t="s">
        <v>36</v>
      </c>
      <c r="G6" s="15">
        <v>43761</v>
      </c>
      <c r="H6" s="15">
        <v>43760</v>
      </c>
      <c r="I6" s="16">
        <v>0.58750000000000002</v>
      </c>
      <c r="J6" s="14" t="s">
        <v>56</v>
      </c>
      <c r="K6" s="14" t="s">
        <v>57</v>
      </c>
      <c r="L6" s="14" t="s">
        <v>58</v>
      </c>
      <c r="M6" s="14" t="s">
        <v>59</v>
      </c>
      <c r="N6" s="14" t="s">
        <v>42</v>
      </c>
      <c r="O6" s="6" t="s">
        <v>60</v>
      </c>
    </row>
    <row r="7" spans="1:15" s="17" customFormat="1" ht="48" customHeight="1">
      <c r="A7" s="13">
        <v>2</v>
      </c>
      <c r="B7" s="14" t="s">
        <v>61</v>
      </c>
      <c r="C7" s="14" t="s">
        <v>24</v>
      </c>
      <c r="D7" s="14" t="s">
        <v>19</v>
      </c>
      <c r="E7" s="14" t="s">
        <v>31</v>
      </c>
      <c r="F7" s="14" t="s">
        <v>36</v>
      </c>
      <c r="G7" s="15">
        <v>43761</v>
      </c>
      <c r="H7" s="15">
        <v>43760</v>
      </c>
      <c r="I7" s="16">
        <v>0.58750000000000002</v>
      </c>
      <c r="J7" s="14" t="s">
        <v>56</v>
      </c>
      <c r="K7" s="14" t="s">
        <v>62</v>
      </c>
      <c r="L7" s="14" t="s">
        <v>63</v>
      </c>
      <c r="M7" s="14" t="s">
        <v>64</v>
      </c>
      <c r="N7" s="14" t="s">
        <v>42</v>
      </c>
      <c r="O7" s="6" t="s">
        <v>60</v>
      </c>
    </row>
    <row r="8" spans="1:15" ht="60" customHeight="1">
      <c r="A8" s="13">
        <v>3</v>
      </c>
      <c r="B8" s="14" t="s">
        <v>65</v>
      </c>
      <c r="C8" s="6" t="s">
        <v>66</v>
      </c>
      <c r="D8" s="14" t="s">
        <v>19</v>
      </c>
      <c r="E8" s="14" t="s">
        <v>31</v>
      </c>
      <c r="F8" s="6" t="s">
        <v>36</v>
      </c>
      <c r="G8" s="15">
        <v>43761</v>
      </c>
      <c r="H8" s="15">
        <v>43760</v>
      </c>
      <c r="I8" s="16">
        <v>0.58750000000000002</v>
      </c>
      <c r="J8" s="14" t="s">
        <v>56</v>
      </c>
      <c r="K8" s="18" t="s">
        <v>67</v>
      </c>
      <c r="L8" s="18" t="s">
        <v>68</v>
      </c>
      <c r="M8" s="18" t="s">
        <v>69</v>
      </c>
      <c r="N8" s="14" t="s">
        <v>42</v>
      </c>
      <c r="O8" s="6" t="s">
        <v>60</v>
      </c>
    </row>
    <row r="9" spans="1:15" ht="48" customHeight="1">
      <c r="A9" s="13">
        <v>4</v>
      </c>
      <c r="B9" s="14" t="s">
        <v>70</v>
      </c>
      <c r="C9" s="6" t="s">
        <v>45</v>
      </c>
      <c r="D9" s="14" t="s">
        <v>19</v>
      </c>
      <c r="E9" s="14" t="s">
        <v>31</v>
      </c>
      <c r="F9" s="6" t="s">
        <v>36</v>
      </c>
      <c r="G9" s="15">
        <v>43761</v>
      </c>
      <c r="H9" s="15">
        <v>43760</v>
      </c>
      <c r="I9" s="16">
        <v>0.58750000000000002</v>
      </c>
      <c r="J9" s="14" t="s">
        <v>56</v>
      </c>
      <c r="K9" s="14" t="s">
        <v>71</v>
      </c>
      <c r="L9" s="14" t="s">
        <v>72</v>
      </c>
      <c r="M9" s="14" t="s">
        <v>73</v>
      </c>
      <c r="N9" s="14" t="s">
        <v>74</v>
      </c>
      <c r="O9" s="6" t="s">
        <v>60</v>
      </c>
    </row>
    <row r="10" spans="1:15" ht="48" customHeight="1">
      <c r="A10" s="21">
        <v>5</v>
      </c>
      <c r="B10" s="22" t="s">
        <v>75</v>
      </c>
      <c r="C10" s="25" t="s">
        <v>25</v>
      </c>
      <c r="D10" s="22" t="s">
        <v>19</v>
      </c>
      <c r="E10" s="22" t="s">
        <v>31</v>
      </c>
      <c r="F10" s="25" t="s">
        <v>36</v>
      </c>
      <c r="G10" s="23">
        <v>43761</v>
      </c>
      <c r="H10" s="23">
        <v>43760</v>
      </c>
      <c r="I10" s="24">
        <v>0.58750000000000002</v>
      </c>
      <c r="J10" s="22" t="s">
        <v>56</v>
      </c>
      <c r="K10" s="22" t="s">
        <v>76</v>
      </c>
      <c r="L10" s="22" t="s">
        <v>77</v>
      </c>
      <c r="M10" s="22" t="s">
        <v>78</v>
      </c>
      <c r="N10" s="22" t="s">
        <v>42</v>
      </c>
      <c r="O10" s="25" t="s">
        <v>60</v>
      </c>
    </row>
    <row r="11" spans="1:15" s="17" customFormat="1" ht="48" customHeight="1">
      <c r="A11" s="13">
        <v>6</v>
      </c>
      <c r="B11" s="14" t="s">
        <v>79</v>
      </c>
      <c r="C11" s="14" t="s">
        <v>80</v>
      </c>
      <c r="D11" s="14" t="s">
        <v>19</v>
      </c>
      <c r="E11" s="14" t="s">
        <v>27</v>
      </c>
      <c r="F11" s="14" t="s">
        <v>81</v>
      </c>
      <c r="G11" s="15">
        <v>43769</v>
      </c>
      <c r="H11" s="15">
        <v>43767</v>
      </c>
      <c r="I11" s="16">
        <v>0.55069444444444449</v>
      </c>
      <c r="J11" s="14"/>
      <c r="K11" s="14" t="s">
        <v>82</v>
      </c>
      <c r="L11" s="14" t="s">
        <v>83</v>
      </c>
      <c r="M11" s="14" t="s">
        <v>84</v>
      </c>
      <c r="N11" s="14" t="s">
        <v>42</v>
      </c>
      <c r="O11" s="6" t="s">
        <v>60</v>
      </c>
    </row>
    <row r="12" spans="1:15" s="17" customFormat="1" ht="48" customHeight="1">
      <c r="A12" s="13">
        <v>7</v>
      </c>
      <c r="B12" s="14" t="s">
        <v>85</v>
      </c>
      <c r="C12" s="14" t="s">
        <v>86</v>
      </c>
      <c r="D12" s="14" t="s">
        <v>16</v>
      </c>
      <c r="E12" s="14" t="s">
        <v>17</v>
      </c>
      <c r="F12" s="14" t="s">
        <v>87</v>
      </c>
      <c r="G12" s="15">
        <v>43773</v>
      </c>
      <c r="H12" s="15">
        <v>43767</v>
      </c>
      <c r="I12" s="16">
        <v>0.4826388888888889</v>
      </c>
      <c r="J12" s="14"/>
      <c r="K12" s="14" t="s">
        <v>88</v>
      </c>
      <c r="L12" s="14" t="s">
        <v>89</v>
      </c>
      <c r="M12" s="14" t="s">
        <v>90</v>
      </c>
      <c r="N12" s="14" t="s">
        <v>42</v>
      </c>
      <c r="O12" s="6" t="s">
        <v>91</v>
      </c>
    </row>
    <row r="13" spans="1:15" s="17" customFormat="1" ht="48" customHeight="1">
      <c r="A13" s="13">
        <v>8</v>
      </c>
      <c r="B13" s="14" t="s">
        <v>92</v>
      </c>
      <c r="C13" s="14" t="s">
        <v>93</v>
      </c>
      <c r="D13" s="14" t="s">
        <v>19</v>
      </c>
      <c r="E13" s="14" t="s">
        <v>28</v>
      </c>
      <c r="F13" s="14" t="s">
        <v>94</v>
      </c>
      <c r="G13" s="15">
        <v>43773</v>
      </c>
      <c r="H13" s="15">
        <v>43767</v>
      </c>
      <c r="I13" s="16">
        <v>0.53888888888888886</v>
      </c>
      <c r="J13" s="14"/>
      <c r="K13" s="14" t="s">
        <v>95</v>
      </c>
      <c r="L13" s="14" t="s">
        <v>96</v>
      </c>
      <c r="M13" s="14" t="s">
        <v>97</v>
      </c>
      <c r="N13" s="14" t="s">
        <v>42</v>
      </c>
      <c r="O13" s="6" t="s">
        <v>91</v>
      </c>
    </row>
    <row r="14" spans="1:15" s="17" customFormat="1" ht="48" customHeight="1">
      <c r="A14" s="13">
        <v>9</v>
      </c>
      <c r="B14" s="14" t="s">
        <v>98</v>
      </c>
      <c r="C14" s="14" t="s">
        <v>86</v>
      </c>
      <c r="D14" s="14" t="s">
        <v>19</v>
      </c>
      <c r="E14" s="14" t="s">
        <v>30</v>
      </c>
      <c r="F14" s="14" t="s">
        <v>99</v>
      </c>
      <c r="G14" s="15">
        <v>43773</v>
      </c>
      <c r="H14" s="15">
        <v>43770</v>
      </c>
      <c r="I14" s="16">
        <v>0.66805555555555562</v>
      </c>
      <c r="J14" s="14"/>
      <c r="K14" s="14" t="s">
        <v>100</v>
      </c>
      <c r="L14" s="14" t="s">
        <v>89</v>
      </c>
      <c r="M14" s="14" t="s">
        <v>90</v>
      </c>
      <c r="N14" s="14" t="s">
        <v>42</v>
      </c>
      <c r="O14" s="6" t="s">
        <v>91</v>
      </c>
    </row>
    <row r="15" spans="1:15" s="17" customFormat="1" ht="48" customHeight="1">
      <c r="A15" s="19">
        <v>10</v>
      </c>
      <c r="B15" s="10" t="s">
        <v>101</v>
      </c>
      <c r="C15" s="10" t="s">
        <v>18</v>
      </c>
      <c r="D15" s="10" t="s">
        <v>16</v>
      </c>
      <c r="E15" s="10" t="s">
        <v>17</v>
      </c>
      <c r="F15" s="10" t="s">
        <v>102</v>
      </c>
      <c r="G15" s="11">
        <v>43773</v>
      </c>
      <c r="H15" s="11">
        <v>43768</v>
      </c>
      <c r="I15" s="12">
        <v>0.59166666666666667</v>
      </c>
      <c r="J15" s="10"/>
      <c r="K15" s="10" t="s">
        <v>39</v>
      </c>
      <c r="L15" s="10" t="s">
        <v>40</v>
      </c>
      <c r="M15" s="10" t="s">
        <v>41</v>
      </c>
      <c r="N15" s="10" t="s">
        <v>42</v>
      </c>
      <c r="O15" s="20" t="s">
        <v>91</v>
      </c>
    </row>
    <row r="16" spans="1:15" s="17" customFormat="1" ht="48" customHeight="1">
      <c r="A16" s="13">
        <v>11</v>
      </c>
      <c r="B16" s="14" t="s">
        <v>103</v>
      </c>
      <c r="C16" s="14" t="s">
        <v>86</v>
      </c>
      <c r="D16" s="14" t="s">
        <v>26</v>
      </c>
      <c r="E16" s="14" t="s">
        <v>104</v>
      </c>
      <c r="F16" s="14" t="s">
        <v>105</v>
      </c>
      <c r="G16" s="15">
        <v>43774</v>
      </c>
      <c r="H16" s="15">
        <v>43773</v>
      </c>
      <c r="I16" s="16">
        <v>0.45208333333333334</v>
      </c>
      <c r="J16" s="14"/>
      <c r="K16" s="14" t="s">
        <v>106</v>
      </c>
      <c r="L16" s="14" t="s">
        <v>89</v>
      </c>
      <c r="M16" s="14" t="s">
        <v>90</v>
      </c>
      <c r="N16" s="14" t="s">
        <v>42</v>
      </c>
      <c r="O16" s="18" t="s">
        <v>107</v>
      </c>
    </row>
    <row r="17" spans="1:15" s="17" customFormat="1" ht="48" customHeight="1">
      <c r="A17" s="13">
        <v>12</v>
      </c>
      <c r="B17" s="14" t="s">
        <v>108</v>
      </c>
      <c r="C17" s="14" t="s">
        <v>45</v>
      </c>
      <c r="D17" s="14" t="s">
        <v>26</v>
      </c>
      <c r="E17" s="14" t="s">
        <v>104</v>
      </c>
      <c r="F17" s="14" t="s">
        <v>105</v>
      </c>
      <c r="G17" s="15">
        <v>43774</v>
      </c>
      <c r="H17" s="15">
        <v>43773</v>
      </c>
      <c r="I17" s="16">
        <v>0.45208333333333334</v>
      </c>
      <c r="J17" s="14"/>
      <c r="K17" s="14" t="s">
        <v>109</v>
      </c>
      <c r="L17" s="14" t="s">
        <v>110</v>
      </c>
      <c r="M17" s="14" t="s">
        <v>111</v>
      </c>
      <c r="N17" s="14" t="s">
        <v>42</v>
      </c>
      <c r="O17" s="18" t="s">
        <v>107</v>
      </c>
    </row>
    <row r="18" spans="1:15" s="17" customFormat="1" ht="48" customHeight="1">
      <c r="A18" s="13">
        <v>13</v>
      </c>
      <c r="B18" s="14" t="s">
        <v>112</v>
      </c>
      <c r="C18" s="14" t="s">
        <v>45</v>
      </c>
      <c r="D18" s="14" t="s">
        <v>26</v>
      </c>
      <c r="E18" s="14" t="s">
        <v>104</v>
      </c>
      <c r="F18" s="14" t="s">
        <v>113</v>
      </c>
      <c r="G18" s="15">
        <v>43774</v>
      </c>
      <c r="H18" s="15">
        <v>43773</v>
      </c>
      <c r="I18" s="16">
        <v>0.46388888888888885</v>
      </c>
      <c r="J18" s="14"/>
      <c r="K18" s="14" t="s">
        <v>114</v>
      </c>
      <c r="L18" s="14" t="s">
        <v>115</v>
      </c>
      <c r="M18" s="14" t="s">
        <v>111</v>
      </c>
      <c r="N18" s="14" t="s">
        <v>42</v>
      </c>
      <c r="O18" s="18" t="s">
        <v>107</v>
      </c>
    </row>
    <row r="19" spans="1:15" s="17" customFormat="1" ht="48" customHeight="1">
      <c r="A19" s="21">
        <v>14</v>
      </c>
      <c r="B19" s="22" t="s">
        <v>116</v>
      </c>
      <c r="C19" s="22" t="s">
        <v>45</v>
      </c>
      <c r="D19" s="22" t="s">
        <v>26</v>
      </c>
      <c r="E19" s="22" t="s">
        <v>104</v>
      </c>
      <c r="F19" s="22" t="s">
        <v>113</v>
      </c>
      <c r="G19" s="23">
        <v>43774</v>
      </c>
      <c r="H19" s="23">
        <v>43773</v>
      </c>
      <c r="I19" s="24">
        <v>0.46388888888888885</v>
      </c>
      <c r="J19" s="22"/>
      <c r="K19" s="22" t="s">
        <v>117</v>
      </c>
      <c r="L19" s="22" t="s">
        <v>118</v>
      </c>
      <c r="M19" s="22" t="s">
        <v>119</v>
      </c>
      <c r="N19" s="22" t="s">
        <v>42</v>
      </c>
      <c r="O19" s="25" t="s">
        <v>107</v>
      </c>
    </row>
    <row r="20" spans="1:15" s="17" customFormat="1" ht="48" customHeight="1">
      <c r="A20" s="13">
        <v>15</v>
      </c>
      <c r="B20" s="10" t="s">
        <v>120</v>
      </c>
      <c r="C20" s="10" t="s">
        <v>18</v>
      </c>
      <c r="D20" s="10" t="s">
        <v>19</v>
      </c>
      <c r="E20" s="10" t="s">
        <v>121</v>
      </c>
      <c r="F20" s="10" t="s">
        <v>122</v>
      </c>
      <c r="G20" s="11">
        <v>43775</v>
      </c>
      <c r="H20" s="11">
        <v>43770</v>
      </c>
      <c r="I20" s="12">
        <v>0.66666666666666663</v>
      </c>
      <c r="J20" s="10"/>
      <c r="K20" s="10" t="s">
        <v>123</v>
      </c>
      <c r="L20" s="10" t="s">
        <v>124</v>
      </c>
      <c r="M20" s="10" t="s">
        <v>41</v>
      </c>
      <c r="N20" s="10" t="s">
        <v>42</v>
      </c>
      <c r="O20" s="10" t="s">
        <v>107</v>
      </c>
    </row>
    <row r="21" spans="1:15" s="17" customFormat="1" ht="57.75" customHeight="1">
      <c r="A21" s="13">
        <v>16</v>
      </c>
      <c r="B21" s="10" t="s">
        <v>128</v>
      </c>
      <c r="C21" s="10" t="s">
        <v>45</v>
      </c>
      <c r="D21" s="10" t="s">
        <v>19</v>
      </c>
      <c r="E21" s="10" t="s">
        <v>35</v>
      </c>
      <c r="F21" s="10" t="s">
        <v>129</v>
      </c>
      <c r="G21" s="11">
        <v>43776</v>
      </c>
      <c r="H21" s="11">
        <v>43773</v>
      </c>
      <c r="I21" s="12">
        <v>0.46388888888888885</v>
      </c>
      <c r="J21" s="10"/>
      <c r="K21" s="10" t="s">
        <v>130</v>
      </c>
      <c r="L21" s="10" t="s">
        <v>131</v>
      </c>
      <c r="M21" s="10" t="s">
        <v>41</v>
      </c>
      <c r="N21" s="10" t="s">
        <v>42</v>
      </c>
      <c r="O21" s="10" t="s">
        <v>43</v>
      </c>
    </row>
    <row r="22" spans="1:15" s="17" customFormat="1" ht="57.75" customHeight="1">
      <c r="A22" s="13">
        <v>17</v>
      </c>
      <c r="B22" s="10" t="s">
        <v>132</v>
      </c>
      <c r="C22" s="10" t="s">
        <v>45</v>
      </c>
      <c r="D22" s="10" t="s">
        <v>19</v>
      </c>
      <c r="E22" s="10" t="s">
        <v>35</v>
      </c>
      <c r="F22" s="26" t="s">
        <v>126</v>
      </c>
      <c r="G22" s="11">
        <v>43776</v>
      </c>
      <c r="H22" s="11">
        <v>43773</v>
      </c>
      <c r="I22" s="12">
        <v>0.44791666666666669</v>
      </c>
      <c r="J22" s="10"/>
      <c r="K22" s="10" t="s">
        <v>133</v>
      </c>
      <c r="L22" s="10" t="s">
        <v>134</v>
      </c>
      <c r="M22" s="10" t="s">
        <v>41</v>
      </c>
      <c r="N22" s="10" t="s">
        <v>42</v>
      </c>
      <c r="O22" s="10" t="s">
        <v>43</v>
      </c>
    </row>
    <row r="23" spans="1:15" s="17" customFormat="1" ht="57.75" customHeight="1">
      <c r="A23" s="13">
        <v>18</v>
      </c>
      <c r="B23" s="10" t="s">
        <v>135</v>
      </c>
      <c r="C23" s="10" t="s">
        <v>45</v>
      </c>
      <c r="D23" s="10" t="s">
        <v>19</v>
      </c>
      <c r="E23" s="10" t="s">
        <v>34</v>
      </c>
      <c r="F23" s="10" t="s">
        <v>136</v>
      </c>
      <c r="G23" s="11">
        <v>43776</v>
      </c>
      <c r="H23" s="11">
        <v>43773</v>
      </c>
      <c r="I23" s="12">
        <v>0.57708333333333328</v>
      </c>
      <c r="J23" s="10"/>
      <c r="K23" s="10" t="s">
        <v>133</v>
      </c>
      <c r="L23" s="10" t="s">
        <v>134</v>
      </c>
      <c r="M23" s="10" t="s">
        <v>41</v>
      </c>
      <c r="N23" s="10" t="s">
        <v>42</v>
      </c>
      <c r="O23" s="10" t="s">
        <v>137</v>
      </c>
    </row>
    <row r="24" spans="1:15" s="17" customFormat="1" ht="48" customHeight="1">
      <c r="A24" s="13">
        <v>19</v>
      </c>
      <c r="B24" s="14" t="s">
        <v>138</v>
      </c>
      <c r="C24" s="14" t="s">
        <v>139</v>
      </c>
      <c r="D24" s="14" t="s">
        <v>19</v>
      </c>
      <c r="E24" s="14" t="s">
        <v>121</v>
      </c>
      <c r="F24" s="14" t="s">
        <v>127</v>
      </c>
      <c r="G24" s="15">
        <v>43777</v>
      </c>
      <c r="H24" s="15">
        <v>43776</v>
      </c>
      <c r="I24" s="16">
        <v>0.68888888888888899</v>
      </c>
      <c r="J24" s="14"/>
      <c r="K24" s="14" t="s">
        <v>140</v>
      </c>
      <c r="L24" s="14" t="s">
        <v>141</v>
      </c>
      <c r="M24" s="14" t="s">
        <v>97</v>
      </c>
      <c r="N24" s="14" t="s">
        <v>42</v>
      </c>
      <c r="O24" s="18" t="s">
        <v>107</v>
      </c>
    </row>
    <row r="25" spans="1:15" s="17" customFormat="1" ht="48" customHeight="1">
      <c r="A25" s="13">
        <v>20</v>
      </c>
      <c r="B25" s="14" t="s">
        <v>142</v>
      </c>
      <c r="C25" s="14" t="s">
        <v>93</v>
      </c>
      <c r="D25" s="14" t="s">
        <v>19</v>
      </c>
      <c r="E25" s="14" t="s">
        <v>121</v>
      </c>
      <c r="F25" s="14" t="s">
        <v>127</v>
      </c>
      <c r="G25" s="15">
        <v>43777</v>
      </c>
      <c r="H25" s="15">
        <v>43776</v>
      </c>
      <c r="I25" s="16">
        <v>0.68888888888888899</v>
      </c>
      <c r="J25" s="14"/>
      <c r="K25" s="14" t="s">
        <v>95</v>
      </c>
      <c r="L25" s="14" t="s">
        <v>96</v>
      </c>
      <c r="M25" s="14" t="s">
        <v>97</v>
      </c>
      <c r="N25" s="14" t="s">
        <v>42</v>
      </c>
      <c r="O25" s="18" t="s">
        <v>107</v>
      </c>
    </row>
    <row r="26" spans="1:15" s="17" customFormat="1" ht="48" customHeight="1">
      <c r="A26" s="13">
        <v>21</v>
      </c>
      <c r="B26" s="14" t="s">
        <v>143</v>
      </c>
      <c r="C26" s="14" t="s">
        <v>45</v>
      </c>
      <c r="D26" s="14" t="s">
        <v>19</v>
      </c>
      <c r="E26" s="14" t="s">
        <v>35</v>
      </c>
      <c r="F26" s="6" t="s">
        <v>144</v>
      </c>
      <c r="G26" s="15">
        <v>43777</v>
      </c>
      <c r="H26" s="15">
        <v>43776</v>
      </c>
      <c r="I26" s="16">
        <v>0.50555555555555554</v>
      </c>
      <c r="J26" s="14"/>
      <c r="K26" s="14" t="s">
        <v>145</v>
      </c>
      <c r="L26" s="14" t="s">
        <v>146</v>
      </c>
      <c r="M26" s="14" t="s">
        <v>73</v>
      </c>
      <c r="N26" s="14" t="s">
        <v>42</v>
      </c>
      <c r="O26" s="18" t="s">
        <v>107</v>
      </c>
    </row>
    <row r="27" spans="1:15" s="17" customFormat="1" ht="57.75" customHeight="1">
      <c r="A27" s="19">
        <v>22</v>
      </c>
      <c r="B27" s="10" t="s">
        <v>152</v>
      </c>
      <c r="C27" s="10" t="s">
        <v>45</v>
      </c>
      <c r="D27" s="10" t="s">
        <v>19</v>
      </c>
      <c r="E27" s="10" t="s">
        <v>31</v>
      </c>
      <c r="F27" s="10" t="s">
        <v>125</v>
      </c>
      <c r="G27" s="11">
        <v>43780</v>
      </c>
      <c r="H27" s="11">
        <v>43775</v>
      </c>
      <c r="I27" s="12">
        <v>0.47847222222222219</v>
      </c>
      <c r="J27" s="10"/>
      <c r="K27" s="10" t="s">
        <v>153</v>
      </c>
      <c r="L27" s="10" t="s">
        <v>154</v>
      </c>
      <c r="M27" s="10" t="s">
        <v>41</v>
      </c>
      <c r="N27" s="10" t="s">
        <v>42</v>
      </c>
      <c r="O27" s="10" t="s">
        <v>137</v>
      </c>
    </row>
    <row r="28" spans="1:15" s="17" customFormat="1" ht="57.75" customHeight="1">
      <c r="A28" s="19">
        <v>23</v>
      </c>
      <c r="B28" s="10" t="s">
        <v>155</v>
      </c>
      <c r="C28" s="10" t="s">
        <v>45</v>
      </c>
      <c r="D28" s="10" t="s">
        <v>19</v>
      </c>
      <c r="E28" s="10" t="s">
        <v>31</v>
      </c>
      <c r="F28" s="20" t="s">
        <v>156</v>
      </c>
      <c r="G28" s="11">
        <v>43780</v>
      </c>
      <c r="H28" s="11">
        <v>43775</v>
      </c>
      <c r="I28" s="12">
        <v>0.40972222222222227</v>
      </c>
      <c r="J28" s="10"/>
      <c r="K28" s="10" t="s">
        <v>153</v>
      </c>
      <c r="L28" s="10" t="s">
        <v>157</v>
      </c>
      <c r="M28" s="10" t="s">
        <v>41</v>
      </c>
      <c r="N28" s="10" t="s">
        <v>42</v>
      </c>
      <c r="O28" s="10" t="s">
        <v>137</v>
      </c>
    </row>
    <row r="29" spans="1:15" s="17" customFormat="1" ht="73.5" customHeight="1">
      <c r="A29" s="13">
        <v>24</v>
      </c>
      <c r="B29" s="14" t="s">
        <v>158</v>
      </c>
      <c r="C29" s="14" t="s">
        <v>1</v>
      </c>
      <c r="D29" s="14" t="s">
        <v>19</v>
      </c>
      <c r="E29" s="14" t="s">
        <v>31</v>
      </c>
      <c r="F29" s="8" t="s">
        <v>147</v>
      </c>
      <c r="G29" s="15">
        <v>43780</v>
      </c>
      <c r="H29" s="15">
        <v>43777</v>
      </c>
      <c r="I29" s="16">
        <v>0.46875</v>
      </c>
      <c r="J29" s="14"/>
      <c r="K29" s="18" t="s">
        <v>159</v>
      </c>
      <c r="L29" s="18" t="s">
        <v>160</v>
      </c>
      <c r="M29" s="18" t="s">
        <v>161</v>
      </c>
      <c r="N29" s="6" t="s">
        <v>42</v>
      </c>
      <c r="O29" s="14" t="s">
        <v>137</v>
      </c>
    </row>
    <row r="30" spans="1:15" s="17" customFormat="1" ht="86.25" customHeight="1">
      <c r="A30" s="13">
        <v>25</v>
      </c>
      <c r="B30" s="14" t="s">
        <v>162</v>
      </c>
      <c r="C30" s="14" t="s">
        <v>45</v>
      </c>
      <c r="D30" s="14" t="s">
        <v>19</v>
      </c>
      <c r="E30" s="14" t="s">
        <v>27</v>
      </c>
      <c r="F30" s="8" t="s">
        <v>149</v>
      </c>
      <c r="G30" s="15">
        <v>43780</v>
      </c>
      <c r="H30" s="15">
        <v>43777</v>
      </c>
      <c r="I30" s="16">
        <v>0.46875</v>
      </c>
      <c r="J30" s="14"/>
      <c r="K30" s="18" t="s">
        <v>163</v>
      </c>
      <c r="L30" s="18" t="s">
        <v>164</v>
      </c>
      <c r="M30" s="18" t="s">
        <v>165</v>
      </c>
      <c r="N30" s="6" t="s">
        <v>42</v>
      </c>
      <c r="O30" s="14" t="s">
        <v>137</v>
      </c>
    </row>
    <row r="31" spans="1:15" s="17" customFormat="1" ht="57" customHeight="1">
      <c r="A31" s="13">
        <v>26</v>
      </c>
      <c r="B31" s="14" t="s">
        <v>166</v>
      </c>
      <c r="C31" s="14" t="s">
        <v>86</v>
      </c>
      <c r="D31" s="14" t="s">
        <v>16</v>
      </c>
      <c r="E31" s="14" t="s">
        <v>17</v>
      </c>
      <c r="F31" s="14" t="s">
        <v>148</v>
      </c>
      <c r="G31" s="15">
        <v>43780</v>
      </c>
      <c r="H31" s="15">
        <v>43777</v>
      </c>
      <c r="I31" s="16">
        <v>0.55694444444444446</v>
      </c>
      <c r="J31" s="14"/>
      <c r="K31" s="14" t="s">
        <v>167</v>
      </c>
      <c r="L31" s="14" t="s">
        <v>89</v>
      </c>
      <c r="M31" s="14" t="s">
        <v>90</v>
      </c>
      <c r="N31" s="14" t="s">
        <v>42</v>
      </c>
      <c r="O31" s="6" t="s">
        <v>91</v>
      </c>
    </row>
    <row r="32" spans="1:15" s="17" customFormat="1" ht="57" customHeight="1">
      <c r="A32" s="13">
        <v>27</v>
      </c>
      <c r="B32" s="14" t="s">
        <v>168</v>
      </c>
      <c r="C32" s="14" t="s">
        <v>93</v>
      </c>
      <c r="D32" s="14" t="s">
        <v>169</v>
      </c>
      <c r="E32" s="14" t="s">
        <v>170</v>
      </c>
      <c r="F32" s="14" t="s">
        <v>171</v>
      </c>
      <c r="G32" s="15">
        <v>43780</v>
      </c>
      <c r="H32" s="15">
        <v>43777</v>
      </c>
      <c r="I32" s="16">
        <v>0.41875000000000001</v>
      </c>
      <c r="J32" s="14"/>
      <c r="K32" s="18" t="s">
        <v>172</v>
      </c>
      <c r="L32" s="18" t="s">
        <v>173</v>
      </c>
      <c r="M32" s="18" t="s">
        <v>174</v>
      </c>
      <c r="N32" s="14" t="s">
        <v>42</v>
      </c>
      <c r="O32" s="18" t="s">
        <v>175</v>
      </c>
    </row>
    <row r="33" spans="1:15" s="17" customFormat="1" ht="57.75" customHeight="1">
      <c r="A33" s="19">
        <v>28</v>
      </c>
      <c r="B33" s="10" t="s">
        <v>177</v>
      </c>
      <c r="C33" s="10" t="s">
        <v>18</v>
      </c>
      <c r="D33" s="10" t="s">
        <v>19</v>
      </c>
      <c r="E33" s="10" t="s">
        <v>29</v>
      </c>
      <c r="F33" s="10" t="s">
        <v>178</v>
      </c>
      <c r="G33" s="11">
        <v>43781</v>
      </c>
      <c r="H33" s="11">
        <v>43776</v>
      </c>
      <c r="I33" s="12">
        <v>0.63680555555555551</v>
      </c>
      <c r="J33" s="10"/>
      <c r="K33" s="10" t="s">
        <v>39</v>
      </c>
      <c r="L33" s="10" t="s">
        <v>40</v>
      </c>
      <c r="M33" s="10" t="s">
        <v>41</v>
      </c>
      <c r="N33" s="10" t="s">
        <v>42</v>
      </c>
      <c r="O33" s="10" t="s">
        <v>43</v>
      </c>
    </row>
    <row r="34" spans="1:15" s="17" customFormat="1" ht="57.75" customHeight="1">
      <c r="A34" s="19">
        <v>29</v>
      </c>
      <c r="B34" s="10" t="s">
        <v>179</v>
      </c>
      <c r="C34" s="10" t="s">
        <v>18</v>
      </c>
      <c r="D34" s="10" t="s">
        <v>19</v>
      </c>
      <c r="E34" s="10" t="s">
        <v>29</v>
      </c>
      <c r="F34" s="10" t="s">
        <v>150</v>
      </c>
      <c r="G34" s="11">
        <v>43781</v>
      </c>
      <c r="H34" s="11">
        <v>43776</v>
      </c>
      <c r="I34" s="12">
        <v>0.64722222222222225</v>
      </c>
      <c r="J34" s="10"/>
      <c r="K34" s="10" t="s">
        <v>39</v>
      </c>
      <c r="L34" s="10" t="s">
        <v>40</v>
      </c>
      <c r="M34" s="10" t="s">
        <v>41</v>
      </c>
      <c r="N34" s="10" t="s">
        <v>42</v>
      </c>
      <c r="O34" s="10" t="s">
        <v>43</v>
      </c>
    </row>
    <row r="35" spans="1:15" s="17" customFormat="1" ht="57.75" customHeight="1">
      <c r="A35" s="19">
        <v>30</v>
      </c>
      <c r="B35" s="10" t="s">
        <v>180</v>
      </c>
      <c r="C35" s="10" t="s">
        <v>21</v>
      </c>
      <c r="D35" s="10" t="s">
        <v>19</v>
      </c>
      <c r="E35" s="10" t="s">
        <v>31</v>
      </c>
      <c r="F35" s="10" t="s">
        <v>176</v>
      </c>
      <c r="G35" s="11">
        <v>43781</v>
      </c>
      <c r="H35" s="11">
        <v>43776</v>
      </c>
      <c r="I35" s="12">
        <v>0.63055555555555554</v>
      </c>
      <c r="J35" s="10"/>
      <c r="K35" s="19" t="s">
        <v>181</v>
      </c>
      <c r="L35" s="19" t="s">
        <v>182</v>
      </c>
      <c r="M35" s="10" t="s">
        <v>41</v>
      </c>
      <c r="N35" s="10" t="s">
        <v>42</v>
      </c>
      <c r="O35" s="10" t="s">
        <v>137</v>
      </c>
    </row>
    <row r="36" spans="1:15" s="17" customFormat="1" ht="57.75" customHeight="1">
      <c r="A36" s="19">
        <v>31</v>
      </c>
      <c r="B36" s="10" t="s">
        <v>183</v>
      </c>
      <c r="C36" s="10" t="s">
        <v>21</v>
      </c>
      <c r="D36" s="10" t="s">
        <v>19</v>
      </c>
      <c r="E36" s="10" t="s">
        <v>31</v>
      </c>
      <c r="F36" s="10" t="s">
        <v>184</v>
      </c>
      <c r="G36" s="11">
        <v>43781</v>
      </c>
      <c r="H36" s="11">
        <v>43776</v>
      </c>
      <c r="I36" s="12">
        <v>0.61805555555555558</v>
      </c>
      <c r="J36" s="10"/>
      <c r="K36" s="19" t="s">
        <v>181</v>
      </c>
      <c r="L36" s="19" t="s">
        <v>182</v>
      </c>
      <c r="M36" s="10" t="s">
        <v>41</v>
      </c>
      <c r="N36" s="10" t="s">
        <v>42</v>
      </c>
      <c r="O36" s="10" t="s">
        <v>137</v>
      </c>
    </row>
    <row r="37" spans="1:15" s="17" customFormat="1" ht="57.75" customHeight="1">
      <c r="A37" s="19">
        <v>32</v>
      </c>
      <c r="B37" s="10" t="s">
        <v>186</v>
      </c>
      <c r="C37" s="10" t="s">
        <v>20</v>
      </c>
      <c r="D37" s="10" t="s">
        <v>19</v>
      </c>
      <c r="E37" s="10" t="s">
        <v>187</v>
      </c>
      <c r="F37" s="10" t="s">
        <v>185</v>
      </c>
      <c r="G37" s="11">
        <v>43781</v>
      </c>
      <c r="H37" s="11">
        <v>43776</v>
      </c>
      <c r="I37" s="12">
        <v>0.44027777777777777</v>
      </c>
      <c r="J37" s="10"/>
      <c r="K37" s="19" t="s">
        <v>188</v>
      </c>
      <c r="L37" s="19" t="s">
        <v>189</v>
      </c>
      <c r="M37" s="10" t="s">
        <v>190</v>
      </c>
      <c r="N37" s="10" t="s">
        <v>42</v>
      </c>
      <c r="O37" s="10" t="s">
        <v>43</v>
      </c>
    </row>
    <row r="38" spans="1:15" s="17" customFormat="1" ht="57.75" customHeight="1">
      <c r="A38" s="19">
        <v>33</v>
      </c>
      <c r="B38" s="10" t="s">
        <v>192</v>
      </c>
      <c r="C38" s="10" t="s">
        <v>18</v>
      </c>
      <c r="D38" s="10" t="s">
        <v>16</v>
      </c>
      <c r="E38" s="10" t="s">
        <v>33</v>
      </c>
      <c r="F38" s="10" t="s">
        <v>151</v>
      </c>
      <c r="G38" s="11">
        <v>43783</v>
      </c>
      <c r="H38" s="11">
        <v>43780</v>
      </c>
      <c r="I38" s="12">
        <v>0.48749999999999999</v>
      </c>
      <c r="J38" s="10"/>
      <c r="K38" s="10" t="s">
        <v>123</v>
      </c>
      <c r="L38" s="10" t="s">
        <v>193</v>
      </c>
      <c r="M38" s="10" t="s">
        <v>41</v>
      </c>
      <c r="N38" s="10" t="s">
        <v>42</v>
      </c>
      <c r="O38" s="10" t="s">
        <v>175</v>
      </c>
    </row>
    <row r="39" spans="1:15" s="17" customFormat="1" ht="57.75" customHeight="1">
      <c r="A39" s="19">
        <v>34</v>
      </c>
      <c r="B39" s="10" t="s">
        <v>194</v>
      </c>
      <c r="C39" s="10" t="s">
        <v>45</v>
      </c>
      <c r="D39" s="10" t="s">
        <v>19</v>
      </c>
      <c r="E39" s="10" t="s">
        <v>29</v>
      </c>
      <c r="F39" s="10" t="s">
        <v>191</v>
      </c>
      <c r="G39" s="11">
        <v>43783</v>
      </c>
      <c r="H39" s="11">
        <v>43780</v>
      </c>
      <c r="I39" s="12">
        <v>0.6333333333333333</v>
      </c>
      <c r="J39" s="10"/>
      <c r="K39" s="10" t="s">
        <v>153</v>
      </c>
      <c r="L39" s="10" t="s">
        <v>195</v>
      </c>
      <c r="M39" s="10" t="s">
        <v>41</v>
      </c>
      <c r="N39" s="10" t="s">
        <v>42</v>
      </c>
      <c r="O39" s="10" t="s">
        <v>175</v>
      </c>
    </row>
    <row r="40" spans="1:15" s="17" customFormat="1" ht="57.75" customHeight="1">
      <c r="A40" s="19">
        <v>35</v>
      </c>
      <c r="B40" s="10" t="s">
        <v>198</v>
      </c>
      <c r="C40" s="10" t="s">
        <v>45</v>
      </c>
      <c r="D40" s="10" t="s">
        <v>19</v>
      </c>
      <c r="E40" s="10" t="s">
        <v>121</v>
      </c>
      <c r="F40" s="10" t="s">
        <v>197</v>
      </c>
      <c r="G40" s="11">
        <v>43787</v>
      </c>
      <c r="H40" s="11">
        <v>43782</v>
      </c>
      <c r="I40" s="12">
        <v>0.36805555555555558</v>
      </c>
      <c r="J40" s="10"/>
      <c r="K40" s="10" t="s">
        <v>199</v>
      </c>
      <c r="L40" s="10" t="s">
        <v>200</v>
      </c>
      <c r="M40" s="10" t="s">
        <v>41</v>
      </c>
      <c r="N40" s="10" t="s">
        <v>42</v>
      </c>
      <c r="O40" s="10" t="s">
        <v>175</v>
      </c>
    </row>
    <row r="41" spans="1:15" s="17" customFormat="1" ht="57.75" customHeight="1">
      <c r="A41" s="19">
        <v>36</v>
      </c>
      <c r="B41" s="10" t="s">
        <v>201</v>
      </c>
      <c r="C41" s="10" t="s">
        <v>45</v>
      </c>
      <c r="D41" s="10" t="s">
        <v>19</v>
      </c>
      <c r="E41" s="10" t="s">
        <v>29</v>
      </c>
      <c r="F41" s="10" t="s">
        <v>196</v>
      </c>
      <c r="G41" s="11">
        <v>43787</v>
      </c>
      <c r="H41" s="11">
        <v>43782</v>
      </c>
      <c r="I41" s="12">
        <v>0.7895833333333333</v>
      </c>
      <c r="J41" s="10"/>
      <c r="K41" s="10" t="s">
        <v>199</v>
      </c>
      <c r="L41" s="10" t="s">
        <v>200</v>
      </c>
      <c r="M41" s="10" t="s">
        <v>41</v>
      </c>
      <c r="N41" s="10" t="s">
        <v>42</v>
      </c>
      <c r="O41" s="10" t="s">
        <v>175</v>
      </c>
    </row>
    <row r="42" spans="1:15" s="17" customFormat="1" ht="57.75" customHeight="1">
      <c r="A42" s="19">
        <v>37</v>
      </c>
      <c r="B42" s="10" t="s">
        <v>204</v>
      </c>
      <c r="C42" s="10" t="s">
        <v>45</v>
      </c>
      <c r="D42" s="10" t="s">
        <v>19</v>
      </c>
      <c r="E42" s="10" t="s">
        <v>29</v>
      </c>
      <c r="F42" s="10" t="s">
        <v>205</v>
      </c>
      <c r="G42" s="11">
        <v>43788</v>
      </c>
      <c r="H42" s="11">
        <v>43783</v>
      </c>
      <c r="I42" s="12">
        <v>0.63750000000000007</v>
      </c>
      <c r="J42" s="10"/>
      <c r="K42" s="10" t="s">
        <v>153</v>
      </c>
      <c r="L42" s="10" t="s">
        <v>206</v>
      </c>
      <c r="M42" s="10" t="s">
        <v>41</v>
      </c>
      <c r="N42" s="10" t="s">
        <v>42</v>
      </c>
      <c r="O42" s="10" t="s">
        <v>43</v>
      </c>
    </row>
    <row r="43" spans="1:15" s="17" customFormat="1" ht="57.75" customHeight="1">
      <c r="A43" s="19">
        <v>38</v>
      </c>
      <c r="B43" s="10" t="s">
        <v>207</v>
      </c>
      <c r="C43" s="10" t="s">
        <v>45</v>
      </c>
      <c r="D43" s="10" t="s">
        <v>19</v>
      </c>
      <c r="E43" s="10" t="s">
        <v>29</v>
      </c>
      <c r="F43" s="26" t="s">
        <v>203</v>
      </c>
      <c r="G43" s="11">
        <v>43788</v>
      </c>
      <c r="H43" s="11">
        <v>43783</v>
      </c>
      <c r="I43" s="12">
        <v>0.61736111111111114</v>
      </c>
      <c r="J43" s="10"/>
      <c r="K43" s="10" t="s">
        <v>153</v>
      </c>
      <c r="L43" s="10" t="s">
        <v>208</v>
      </c>
      <c r="M43" s="10" t="s">
        <v>41</v>
      </c>
      <c r="N43" s="10" t="s">
        <v>42</v>
      </c>
      <c r="O43" s="10" t="s">
        <v>43</v>
      </c>
    </row>
    <row r="44" spans="1:15" s="17" customFormat="1" ht="57.75" customHeight="1">
      <c r="A44" s="19">
        <v>39</v>
      </c>
      <c r="B44" s="10" t="s">
        <v>209</v>
      </c>
      <c r="C44" s="10" t="s">
        <v>45</v>
      </c>
      <c r="D44" s="10" t="s">
        <v>19</v>
      </c>
      <c r="E44" s="10" t="s">
        <v>30</v>
      </c>
      <c r="F44" s="10" t="s">
        <v>210</v>
      </c>
      <c r="G44" s="11">
        <v>43788</v>
      </c>
      <c r="H44" s="11">
        <v>43783</v>
      </c>
      <c r="I44" s="12">
        <v>0.36249999999999999</v>
      </c>
      <c r="J44" s="10"/>
      <c r="K44" s="10" t="s">
        <v>133</v>
      </c>
      <c r="L44" s="10" t="s">
        <v>134</v>
      </c>
      <c r="M44" s="10" t="s">
        <v>41</v>
      </c>
      <c r="N44" s="10" t="s">
        <v>42</v>
      </c>
      <c r="O44" s="10" t="s">
        <v>43</v>
      </c>
    </row>
    <row r="45" spans="1:15" s="17" customFormat="1" ht="57.75" customHeight="1">
      <c r="A45" s="19">
        <v>40</v>
      </c>
      <c r="B45" s="10" t="s">
        <v>211</v>
      </c>
      <c r="C45" s="10" t="s">
        <v>45</v>
      </c>
      <c r="D45" s="10" t="s">
        <v>19</v>
      </c>
      <c r="E45" s="10" t="s">
        <v>30</v>
      </c>
      <c r="F45" s="10" t="s">
        <v>202</v>
      </c>
      <c r="G45" s="11">
        <v>43788</v>
      </c>
      <c r="H45" s="11">
        <v>43783</v>
      </c>
      <c r="I45" s="12">
        <v>0.70277777777777783</v>
      </c>
      <c r="J45" s="10"/>
      <c r="K45" s="10" t="s">
        <v>133</v>
      </c>
      <c r="L45" s="10" t="s">
        <v>134</v>
      </c>
      <c r="M45" s="10" t="s">
        <v>41</v>
      </c>
      <c r="N45" s="10" t="s">
        <v>42</v>
      </c>
      <c r="O45" s="10" t="s">
        <v>43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3327-8E62-4B94-AE9D-9444136B2D90}">
  <sheetPr>
    <tabColor rgb="FF00B0F0"/>
  </sheetPr>
  <dimension ref="A1:L987"/>
  <sheetViews>
    <sheetView tabSelected="1" workbookViewId="0">
      <selection sqref="A1:XFD12"/>
    </sheetView>
  </sheetViews>
  <sheetFormatPr defaultColWidth="14.453125" defaultRowHeight="15" customHeight="1"/>
  <cols>
    <col min="1" max="1" width="8.7265625" style="31" customWidth="1"/>
    <col min="2" max="2" width="52.453125" style="31" customWidth="1"/>
    <col min="3" max="3" width="8.7265625" style="31" customWidth="1"/>
    <col min="4" max="4" width="9.81640625" style="31" customWidth="1"/>
    <col min="5" max="5" width="11" style="31" customWidth="1"/>
    <col min="6" max="26" width="8.7265625" style="31" customWidth="1"/>
    <col min="27" max="16384" width="14.453125" style="31"/>
  </cols>
  <sheetData>
    <row r="1" spans="2:9" thickBot="1">
      <c r="B1" s="74" t="s">
        <v>0</v>
      </c>
      <c r="C1" s="73" t="s">
        <v>222</v>
      </c>
      <c r="D1" s="72" t="s">
        <v>223</v>
      </c>
      <c r="E1" s="72" t="s">
        <v>224</v>
      </c>
      <c r="F1" s="72" t="s">
        <v>225</v>
      </c>
      <c r="G1" s="72" t="s">
        <v>226</v>
      </c>
      <c r="H1" s="72" t="s">
        <v>227</v>
      </c>
      <c r="I1" s="71" t="s">
        <v>228</v>
      </c>
    </row>
    <row r="2" spans="2:9" ht="14.5">
      <c r="B2" s="110" t="s">
        <v>212</v>
      </c>
      <c r="C2" s="112">
        <v>0.5</v>
      </c>
      <c r="D2" s="57"/>
      <c r="E2" s="56"/>
      <c r="F2" s="56"/>
      <c r="G2" s="56"/>
      <c r="H2" s="56"/>
      <c r="I2" s="70"/>
    </row>
    <row r="3" spans="2:9" ht="14.5">
      <c r="B3" s="111"/>
      <c r="C3" s="111"/>
      <c r="D3" s="56"/>
      <c r="E3" s="56"/>
      <c r="F3" s="56"/>
      <c r="G3" s="56"/>
      <c r="H3" s="56"/>
      <c r="I3" s="58"/>
    </row>
    <row r="4" spans="2:9" ht="14.5">
      <c r="B4" s="67" t="s">
        <v>229</v>
      </c>
      <c r="C4" s="65">
        <v>0.15</v>
      </c>
      <c r="D4" s="64">
        <f t="shared" ref="D4:D11" si="0">C4*$C$2</f>
        <v>7.4999999999999997E-2</v>
      </c>
      <c r="E4" s="69">
        <v>3</v>
      </c>
      <c r="F4" s="69">
        <v>3</v>
      </c>
      <c r="G4" s="69">
        <v>3</v>
      </c>
      <c r="H4" s="69">
        <v>3</v>
      </c>
      <c r="I4" s="68">
        <v>3</v>
      </c>
    </row>
    <row r="5" spans="2:9" ht="14.5">
      <c r="B5" s="67" t="s">
        <v>230</v>
      </c>
      <c r="C5" s="65">
        <v>0.1</v>
      </c>
      <c r="D5" s="64">
        <f t="shared" si="0"/>
        <v>0.05</v>
      </c>
      <c r="E5" s="69">
        <v>3</v>
      </c>
      <c r="F5" s="69">
        <v>3</v>
      </c>
      <c r="G5" s="69">
        <v>3</v>
      </c>
      <c r="H5" s="69">
        <v>3</v>
      </c>
      <c r="I5" s="68">
        <v>3</v>
      </c>
    </row>
    <row r="6" spans="2:9" ht="14.5">
      <c r="B6" s="67" t="s">
        <v>231</v>
      </c>
      <c r="C6" s="65">
        <v>0.15</v>
      </c>
      <c r="D6" s="64">
        <f t="shared" si="0"/>
        <v>7.4999999999999997E-2</v>
      </c>
      <c r="E6" s="69">
        <v>3</v>
      </c>
      <c r="F6" s="69">
        <v>3</v>
      </c>
      <c r="G6" s="69">
        <v>3</v>
      </c>
      <c r="H6" s="69">
        <v>3</v>
      </c>
      <c r="I6" s="68">
        <v>3</v>
      </c>
    </row>
    <row r="7" spans="2:9" ht="14.5">
      <c r="B7" s="67" t="s">
        <v>232</v>
      </c>
      <c r="C7" s="65">
        <v>0.1</v>
      </c>
      <c r="D7" s="64">
        <f t="shared" si="0"/>
        <v>0.05</v>
      </c>
      <c r="E7" s="69">
        <v>3</v>
      </c>
      <c r="F7" s="69">
        <v>3</v>
      </c>
      <c r="G7" s="69">
        <v>3</v>
      </c>
      <c r="H7" s="80">
        <v>2</v>
      </c>
      <c r="I7" s="68">
        <v>3</v>
      </c>
    </row>
    <row r="8" spans="2:9" ht="14.5">
      <c r="B8" s="67" t="s">
        <v>233</v>
      </c>
      <c r="C8" s="65">
        <v>0.1</v>
      </c>
      <c r="D8" s="64">
        <f t="shared" si="0"/>
        <v>0.05</v>
      </c>
      <c r="E8" s="69">
        <v>3</v>
      </c>
      <c r="F8" s="80">
        <v>2</v>
      </c>
      <c r="G8" s="69">
        <v>3</v>
      </c>
      <c r="H8" s="69">
        <v>3</v>
      </c>
      <c r="I8" s="68">
        <v>3</v>
      </c>
    </row>
    <row r="9" spans="2:9" ht="15.75" customHeight="1">
      <c r="B9" s="53" t="s">
        <v>234</v>
      </c>
      <c r="C9" s="66">
        <v>0.15</v>
      </c>
      <c r="D9" s="64">
        <f t="shared" si="0"/>
        <v>7.4999999999999997E-2</v>
      </c>
      <c r="E9" s="69">
        <v>3</v>
      </c>
      <c r="F9" s="69">
        <v>3</v>
      </c>
      <c r="G9" s="80">
        <v>2</v>
      </c>
      <c r="H9" s="69">
        <v>3</v>
      </c>
      <c r="I9" s="68">
        <v>3</v>
      </c>
    </row>
    <row r="10" spans="2:9" ht="15.75" customHeight="1">
      <c r="B10" s="53" t="s">
        <v>219</v>
      </c>
      <c r="C10" s="65">
        <v>0.1</v>
      </c>
      <c r="D10" s="64">
        <f t="shared" si="0"/>
        <v>0.05</v>
      </c>
      <c r="E10" s="69">
        <v>3</v>
      </c>
      <c r="F10" s="69">
        <v>3</v>
      </c>
      <c r="G10" s="69">
        <v>3</v>
      </c>
      <c r="H10" s="69">
        <v>3</v>
      </c>
      <c r="I10" s="68">
        <v>3</v>
      </c>
    </row>
    <row r="11" spans="2:9" ht="15.75" customHeight="1">
      <c r="B11" s="54" t="s">
        <v>220</v>
      </c>
      <c r="C11" s="65">
        <v>0.15</v>
      </c>
      <c r="D11" s="64">
        <f t="shared" si="0"/>
        <v>7.4999999999999997E-2</v>
      </c>
      <c r="E11" s="69">
        <v>3</v>
      </c>
      <c r="F11" s="69">
        <v>3</v>
      </c>
      <c r="G11" s="69">
        <v>3</v>
      </c>
      <c r="H11" s="69">
        <v>3</v>
      </c>
      <c r="I11" s="68">
        <v>3</v>
      </c>
    </row>
    <row r="12" spans="2:9" ht="14.25" customHeight="1">
      <c r="B12" s="63"/>
      <c r="C12" s="62"/>
      <c r="D12" s="61"/>
      <c r="E12" s="60"/>
      <c r="F12" s="60"/>
      <c r="G12" s="60"/>
      <c r="H12" s="60"/>
      <c r="I12" s="59"/>
    </row>
    <row r="13" spans="2:9" ht="15.75" customHeight="1">
      <c r="B13" s="110" t="s">
        <v>213</v>
      </c>
      <c r="C13" s="113">
        <v>0.5</v>
      </c>
      <c r="D13" s="57"/>
      <c r="E13" s="56"/>
      <c r="F13" s="56"/>
      <c r="G13" s="56"/>
      <c r="H13" s="56"/>
      <c r="I13" s="58"/>
    </row>
    <row r="14" spans="2:9" ht="15.75" customHeight="1">
      <c r="B14" s="111"/>
      <c r="C14" s="111"/>
      <c r="D14" s="57"/>
      <c r="E14" s="56"/>
      <c r="F14" s="56"/>
      <c r="G14" s="56"/>
      <c r="H14" s="56"/>
      <c r="I14" s="55"/>
    </row>
    <row r="15" spans="2:9" ht="15.75" customHeight="1">
      <c r="B15" s="53" t="s">
        <v>235</v>
      </c>
      <c r="C15" s="52">
        <v>0.2</v>
      </c>
      <c r="D15" s="51">
        <f>C15*$C$13</f>
        <v>0.1</v>
      </c>
      <c r="E15" s="77">
        <v>3</v>
      </c>
      <c r="F15" s="77">
        <v>3</v>
      </c>
      <c r="G15" s="77">
        <v>3</v>
      </c>
      <c r="H15" s="77">
        <v>3</v>
      </c>
      <c r="I15" s="78">
        <v>3</v>
      </c>
    </row>
    <row r="16" spans="2:9" ht="15.75" customHeight="1">
      <c r="B16" s="53" t="s">
        <v>236</v>
      </c>
      <c r="C16" s="52">
        <v>0.4</v>
      </c>
      <c r="D16" s="51">
        <f>C16*$C$13</f>
        <v>0.2</v>
      </c>
      <c r="E16" s="77">
        <v>3</v>
      </c>
      <c r="F16" s="77">
        <v>3</v>
      </c>
      <c r="G16" s="77">
        <v>3</v>
      </c>
      <c r="H16" s="79">
        <v>2</v>
      </c>
      <c r="I16" s="77">
        <v>3</v>
      </c>
    </row>
    <row r="17" spans="1:12" ht="39.75" customHeight="1">
      <c r="B17" s="54" t="s">
        <v>237</v>
      </c>
      <c r="C17" s="52">
        <v>0.2</v>
      </c>
      <c r="D17" s="51">
        <f>C17*$C$13</f>
        <v>0.1</v>
      </c>
      <c r="E17" s="77">
        <v>3</v>
      </c>
      <c r="F17" s="77">
        <v>3</v>
      </c>
      <c r="G17" s="77">
        <v>3</v>
      </c>
      <c r="H17" s="77">
        <v>3</v>
      </c>
      <c r="I17" s="78">
        <v>3</v>
      </c>
    </row>
    <row r="18" spans="1:12" ht="39.75" customHeight="1">
      <c r="B18" s="53" t="s">
        <v>221</v>
      </c>
      <c r="C18" s="52">
        <v>0.2</v>
      </c>
      <c r="D18" s="51">
        <f>C18*$C$13</f>
        <v>0.1</v>
      </c>
      <c r="E18" s="79">
        <v>2</v>
      </c>
      <c r="F18" s="79">
        <v>2</v>
      </c>
      <c r="G18" s="77">
        <v>3</v>
      </c>
      <c r="H18" s="77">
        <v>3</v>
      </c>
      <c r="I18" s="81">
        <v>2</v>
      </c>
    </row>
    <row r="19" spans="1:12" ht="19.5" customHeight="1">
      <c r="B19" s="50"/>
      <c r="C19" s="49">
        <f>C2+C13</f>
        <v>1</v>
      </c>
      <c r="D19" s="48"/>
      <c r="E19" s="47">
        <f>SUMPRODUCT(D4:D18,E4:E18)/3</f>
        <v>0.96666666666666679</v>
      </c>
      <c r="F19" s="47">
        <f>SUMPRODUCT(D4:D18,F4:F18)/3</f>
        <v>0.95000000000000018</v>
      </c>
      <c r="G19" s="47">
        <f>SUMPRODUCT(D4:D18,G4:G18)/3</f>
        <v>0.97499999999999998</v>
      </c>
      <c r="H19" s="47">
        <f>SUMPRODUCT(D4:D18,H4:H18)/3</f>
        <v>0.91666666666666663</v>
      </c>
      <c r="I19" s="46">
        <f>SUMPRODUCT(D4:D18,I4:I18)/3</f>
        <v>0.96666666666666679</v>
      </c>
    </row>
    <row r="20" spans="1:12" ht="15.75" customHeight="1">
      <c r="B20" s="34"/>
      <c r="C20" s="34"/>
      <c r="D20" s="34"/>
      <c r="E20" s="45"/>
      <c r="F20" s="34"/>
      <c r="G20" s="34"/>
      <c r="H20" s="34"/>
      <c r="L20" s="75"/>
    </row>
    <row r="21" spans="1:12" ht="15.75" customHeight="1">
      <c r="B21" s="44"/>
      <c r="C21" s="44"/>
      <c r="D21" s="34"/>
      <c r="E21" s="43"/>
      <c r="F21" s="43"/>
      <c r="G21" s="76">
        <f>AVERAGE(E19:I19)</f>
        <v>0.95500000000000007</v>
      </c>
      <c r="H21" s="43"/>
      <c r="I21" s="42"/>
    </row>
    <row r="22" spans="1:12" ht="15.75" customHeight="1">
      <c r="B22" s="41" t="s">
        <v>22</v>
      </c>
      <c r="C22" s="41"/>
      <c r="D22" s="41"/>
      <c r="E22" s="41"/>
      <c r="F22" s="41"/>
      <c r="G22" s="41"/>
      <c r="H22" s="41"/>
      <c r="I22" s="40"/>
    </row>
    <row r="23" spans="1:12" ht="15.75" customHeight="1">
      <c r="B23" s="39" t="s">
        <v>214</v>
      </c>
      <c r="C23" s="38"/>
      <c r="D23" s="38"/>
      <c r="E23" s="38"/>
      <c r="F23" s="38"/>
      <c r="G23" s="38"/>
      <c r="H23" s="38"/>
      <c r="I23" s="37"/>
    </row>
    <row r="24" spans="1:12" ht="15.75" customHeight="1">
      <c r="B24" s="36" t="s">
        <v>215</v>
      </c>
      <c r="C24" s="36"/>
      <c r="D24" s="36"/>
      <c r="E24" s="36"/>
      <c r="F24" s="36"/>
      <c r="G24" s="36"/>
      <c r="H24" s="36"/>
      <c r="I24" s="35"/>
    </row>
    <row r="25" spans="1:12" ht="15.75" customHeight="1">
      <c r="B25" s="34"/>
      <c r="C25" s="34"/>
      <c r="D25" s="34"/>
      <c r="E25" s="34"/>
      <c r="F25" s="34"/>
      <c r="G25" s="34"/>
      <c r="H25" s="34"/>
    </row>
    <row r="26" spans="1:12" ht="15.75" customHeight="1">
      <c r="B26" s="34" t="s">
        <v>218</v>
      </c>
      <c r="C26" s="34"/>
      <c r="D26" s="34"/>
      <c r="E26" s="34"/>
      <c r="F26" s="34"/>
      <c r="G26" s="34"/>
      <c r="H26" s="34"/>
    </row>
    <row r="27" spans="1:12" ht="15.75" customHeight="1">
      <c r="A27" s="32">
        <v>3</v>
      </c>
    </row>
    <row r="28" spans="1:12" ht="15.75" customHeight="1">
      <c r="A28" s="32">
        <v>2</v>
      </c>
    </row>
    <row r="29" spans="1:12" ht="15.75" customHeight="1">
      <c r="A29" s="32">
        <v>1</v>
      </c>
    </row>
    <row r="30" spans="1:12" ht="15.75" customHeight="1">
      <c r="A30" s="32">
        <v>0</v>
      </c>
      <c r="B30" s="32" t="s">
        <v>238</v>
      </c>
    </row>
    <row r="31" spans="1:12" ht="15.75" customHeight="1">
      <c r="A31" s="33" t="s">
        <v>239</v>
      </c>
      <c r="B31" s="32" t="s">
        <v>240</v>
      </c>
    </row>
    <row r="32" spans="1:12" ht="15.75" customHeight="1"/>
    <row r="33" spans="1:2" ht="15.75" customHeight="1"/>
    <row r="34" spans="1:2" ht="15.75" customHeight="1">
      <c r="A34" s="109" t="s">
        <v>216</v>
      </c>
      <c r="B34" s="109"/>
    </row>
    <row r="35" spans="1:2" ht="15.75" customHeight="1">
      <c r="A35" s="28"/>
      <c r="B35" s="29" t="s">
        <v>241</v>
      </c>
    </row>
    <row r="36" spans="1:2" ht="15.75" customHeight="1">
      <c r="A36" s="30"/>
      <c r="B36" s="29" t="s">
        <v>242</v>
      </c>
    </row>
    <row r="37" spans="1:2" ht="15.75" customHeight="1"/>
    <row r="38" spans="1:2" ht="15.75" customHeight="1"/>
    <row r="39" spans="1:2" ht="15.75" customHeight="1"/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5">
    <mergeCell ref="A34:B34"/>
    <mergeCell ref="B2:B3"/>
    <mergeCell ref="C2:C3"/>
    <mergeCell ref="B13:B14"/>
    <mergeCell ref="C13:C14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PEMBAGIAN AGENT</vt:lpstr>
      <vt:lpstr>Temuan Bulan Des</vt:lpstr>
      <vt:lpstr>Chat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Vidia Lestari</dc:creator>
  <cp:lastModifiedBy>Fajar Abdurrahman</cp:lastModifiedBy>
  <dcterms:created xsi:type="dcterms:W3CDTF">2019-08-15T05:14:04Z</dcterms:created>
  <dcterms:modified xsi:type="dcterms:W3CDTF">2026-03-25T06:58:22Z</dcterms:modified>
</cp:coreProperties>
</file>