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fcc.agent12\Desktop\"/>
    </mc:Choice>
  </mc:AlternateContent>
  <xr:revisionPtr revIDLastSave="0" documentId="8_{5AD9BEA7-B999-406A-BBE1-0E292CDD1D40}" xr6:coauthVersionLast="47" xr6:coauthVersionMax="47" xr10:uidLastSave="{00000000-0000-0000-0000-000000000000}"/>
  <bookViews>
    <workbookView xWindow="-110" yWindow="-110" windowWidth="19420" windowHeight="11500" tabRatio="801" xr2:uid="{00000000-000D-0000-FFFF-FFFF00000000}"/>
  </bookViews>
  <sheets>
    <sheet name="SKOR PENCATATAN" sheetId="145" r:id="rId1"/>
  </sheets>
  <definedNames>
    <definedName name="_">#REF!</definedName>
    <definedName name="a">#REF!</definedName>
    <definedName name="aaa">#REF!</definedName>
    <definedName name="Dheo">#REF!</definedName>
    <definedName name="f">#REF!</definedName>
    <definedName name="fwsad">#REF!</definedName>
    <definedName name="ge">#REF!</definedName>
    <definedName name="grfd">#REF!</definedName>
    <definedName name="grfg">#REF!</definedName>
    <definedName name="IraDestri">#REF!</definedName>
    <definedName name="j">#REF!</definedName>
    <definedName name="nju">#REF!</definedName>
    <definedName name="Tax">#REF!</definedName>
    <definedName name="TaxRate">#REF!</definedName>
    <definedName name="wfrewfdergvr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45" l="1"/>
  <c r="G20" i="145"/>
  <c r="F20" i="145"/>
  <c r="E20" i="145"/>
  <c r="D20" i="145"/>
  <c r="B20" i="145"/>
  <c r="K12" i="145"/>
  <c r="I12" i="145"/>
  <c r="G12" i="145"/>
  <c r="E12" i="145"/>
  <c r="C12" i="145"/>
  <c r="B12" i="145"/>
  <c r="L11" i="145"/>
  <c r="J11" i="145"/>
  <c r="H11" i="145"/>
  <c r="F11" i="145"/>
  <c r="D11" i="145"/>
  <c r="L9" i="145"/>
  <c r="J9" i="145"/>
  <c r="H9" i="145"/>
  <c r="F9" i="145"/>
  <c r="D9" i="145"/>
  <c r="L8" i="145"/>
  <c r="J8" i="145"/>
  <c r="H8" i="145"/>
  <c r="F8" i="145"/>
  <c r="D8" i="145"/>
  <c r="L7" i="145"/>
  <c r="J7" i="145"/>
  <c r="H7" i="145"/>
  <c r="F7" i="145"/>
  <c r="D7" i="145"/>
  <c r="L5" i="145"/>
  <c r="J5" i="145"/>
  <c r="H5" i="145"/>
  <c r="F5" i="145"/>
  <c r="D5" i="145"/>
  <c r="L12" i="145" l="1"/>
  <c r="L23" i="145" s="1"/>
  <c r="H12" i="145"/>
  <c r="H23" i="145" s="1"/>
  <c r="J12" i="145"/>
  <c r="J23" i="145" s="1"/>
  <c r="F12" i="145"/>
  <c r="D12" i="145"/>
  <c r="D23" i="145" s="1"/>
  <c r="F23" i="145"/>
  <c r="C24" i="145" l="1"/>
</calcChain>
</file>

<file path=xl/sharedStrings.xml><?xml version="1.0" encoding="utf-8"?>
<sst xmlns="http://schemas.openxmlformats.org/spreadsheetml/2006/main" count="41" uniqueCount="24">
  <si>
    <t>Parameter</t>
  </si>
  <si>
    <t>Typing</t>
  </si>
  <si>
    <t>Critical Error</t>
  </si>
  <si>
    <t xml:space="preserve">Remarks / Development Action : </t>
  </si>
  <si>
    <t xml:space="preserve">1. Non Critical Error   : </t>
  </si>
  <si>
    <t xml:space="preserve">2. Critical Error  : </t>
  </si>
  <si>
    <t>Bobot</t>
  </si>
  <si>
    <t>Sampling</t>
  </si>
  <si>
    <t>Nilai Bobot</t>
  </si>
  <si>
    <t>I</t>
  </si>
  <si>
    <t>II</t>
  </si>
  <si>
    <t>III</t>
  </si>
  <si>
    <t>IV</t>
  </si>
  <si>
    <t>V</t>
  </si>
  <si>
    <t>Nilai QA</t>
  </si>
  <si>
    <t>Service Level AgreeMent (SLA)</t>
  </si>
  <si>
    <t xml:space="preserve">Ketepatan Waktu </t>
  </si>
  <si>
    <t>Attention To Detail</t>
  </si>
  <si>
    <t>Double Input</t>
  </si>
  <si>
    <t>Accuracy Description</t>
  </si>
  <si>
    <t>Dokumentasi</t>
  </si>
  <si>
    <t>Proper Input</t>
  </si>
  <si>
    <t>Proper Input: 
Kesesuaian pemilihan Media Layanan,  Tiket Layanan dan Data Konsumen</t>
  </si>
  <si>
    <t xml:space="preserve">Proper Input: 
Kesesuaian pemilihan Nama PUJK/Perusahaan, Jenis Produk, dan Jenis Permasalahan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</si>
</sst>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6" formatCode="[$-421]General"/>
  </numFmts>
  <fonts count="23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1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u/>
      <sz val="11"/>
      <color rgb="FF0563C1"/>
      <name val="Calibri1"/>
    </font>
    <font>
      <sz val="11"/>
      <color rgb="FF000000"/>
      <name val="Arial"/>
      <family val="2"/>
    </font>
    <font>
      <u/>
      <sz val="11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0" fontId="9" fillId="0" borderId="0"/>
    <xf numFmtId="164" fontId="7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10" fillId="0" borderId="0"/>
    <xf numFmtId="0" fontId="9" fillId="0" borderId="0"/>
    <xf numFmtId="0" fontId="6" fillId="0" borderId="0"/>
    <xf numFmtId="0" fontId="5" fillId="0" borderId="0">
      <alignment vertical="center"/>
    </xf>
    <xf numFmtId="0" fontId="5" fillId="0" borderId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166" fontId="13" fillId="0" borderId="0" applyBorder="0" applyProtection="0"/>
    <xf numFmtId="166" fontId="20" fillId="0" borderId="0" applyBorder="0" applyProtection="0"/>
    <xf numFmtId="0" fontId="21" fillId="0" borderId="0"/>
    <xf numFmtId="0" fontId="2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66" fontId="11" fillId="0" borderId="0" applyBorder="0" applyProtection="0"/>
    <xf numFmtId="0" fontId="1" fillId="0" borderId="0"/>
  </cellStyleXfs>
  <cellXfs count="54">
    <xf numFmtId="0" fontId="0" fillId="0" borderId="0" xfId="0"/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4" fillId="4" borderId="1" xfId="0" applyFont="1" applyFill="1" applyBorder="1" applyAlignment="1">
      <alignment horizontal="center"/>
    </xf>
    <xf numFmtId="9" fontId="12" fillId="5" borderId="3" xfId="0" applyNumberFormat="1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9" fontId="12" fillId="0" borderId="1" xfId="0" applyNumberFormat="1" applyFont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 vertical="center"/>
    </xf>
    <xf numFmtId="9" fontId="12" fillId="5" borderId="1" xfId="0" applyNumberFormat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9" fontId="14" fillId="0" borderId="1" xfId="0" applyNumberFormat="1" applyFont="1" applyBorder="1" applyAlignment="1">
      <alignment horizontal="center"/>
    </xf>
    <xf numFmtId="9" fontId="12" fillId="2" borderId="1" xfId="6" applyNumberFormat="1" applyFont="1" applyFill="1" applyBorder="1" applyAlignment="1">
      <alignment horizontal="center" vertical="center"/>
    </xf>
    <xf numFmtId="9" fontId="12" fillId="5" borderId="1" xfId="6" applyNumberFormat="1" applyFont="1" applyFill="1" applyBorder="1" applyAlignment="1">
      <alignment horizontal="center" vertical="center"/>
    </xf>
    <xf numFmtId="9" fontId="12" fillId="0" borderId="1" xfId="6" applyNumberFormat="1" applyFont="1" applyBorder="1" applyAlignment="1">
      <alignment horizontal="center" vertical="center"/>
    </xf>
    <xf numFmtId="0" fontId="16" fillId="0" borderId="0" xfId="0" applyFont="1"/>
    <xf numFmtId="9" fontId="16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9" fontId="16" fillId="3" borderId="1" xfId="7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9" fontId="16" fillId="3" borderId="1" xfId="7" applyFont="1" applyFill="1" applyBorder="1"/>
    <xf numFmtId="0" fontId="12" fillId="0" borderId="0" xfId="0" applyFont="1"/>
    <xf numFmtId="9" fontId="12" fillId="0" borderId="0" xfId="7" applyFont="1"/>
    <xf numFmtId="9" fontId="16" fillId="8" borderId="1" xfId="1" applyNumberFormat="1" applyFont="1" applyFill="1" applyBorder="1" applyAlignment="1">
      <alignment horizontal="center" vertical="center"/>
    </xf>
    <xf numFmtId="9" fontId="16" fillId="8" borderId="1" xfId="1" applyNumberFormat="1" applyFont="1" applyFill="1" applyBorder="1" applyAlignment="1">
      <alignment vertical="center"/>
    </xf>
    <xf numFmtId="0" fontId="12" fillId="0" borderId="0" xfId="1" quotePrefix="1" applyFont="1" applyAlignment="1">
      <alignment vertical="top" wrapText="1"/>
    </xf>
    <xf numFmtId="0" fontId="12" fillId="0" borderId="0" xfId="1" applyFont="1" applyAlignment="1">
      <alignment vertical="top" wrapText="1"/>
    </xf>
    <xf numFmtId="0" fontId="12" fillId="0" borderId="0" xfId="1" applyFont="1" applyAlignment="1">
      <alignment vertical="center"/>
    </xf>
    <xf numFmtId="0" fontId="17" fillId="4" borderId="3" xfId="1" applyFont="1" applyFill="1" applyBorder="1" applyAlignment="1">
      <alignment horizontal="center" vertical="center"/>
    </xf>
    <xf numFmtId="0" fontId="15" fillId="4" borderId="3" xfId="1" applyFont="1" applyFill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/>
    </xf>
    <xf numFmtId="0" fontId="15" fillId="4" borderId="1" xfId="1" applyFont="1" applyFill="1" applyBorder="1" applyAlignment="1">
      <alignment horizontal="center" vertical="center"/>
    </xf>
    <xf numFmtId="0" fontId="17" fillId="5" borderId="1" xfId="1" applyFont="1" applyFill="1" applyBorder="1" applyAlignment="1">
      <alignment horizontal="left" vertical="center" wrapText="1"/>
    </xf>
    <xf numFmtId="9" fontId="15" fillId="5" borderId="3" xfId="1" applyNumberFormat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left" vertical="center" wrapText="1"/>
    </xf>
    <xf numFmtId="9" fontId="11" fillId="0" borderId="1" xfId="0" applyNumberFormat="1" applyFont="1" applyBorder="1" applyAlignment="1">
      <alignment horizontal="center" vertical="center"/>
    </xf>
    <xf numFmtId="9" fontId="15" fillId="5" borderId="1" xfId="1" applyNumberFormat="1" applyFont="1" applyFill="1" applyBorder="1" applyAlignment="1">
      <alignment horizontal="center" vertical="center" wrapText="1"/>
    </xf>
    <xf numFmtId="0" fontId="18" fillId="2" borderId="1" xfId="2" applyFont="1" applyFill="1" applyBorder="1" applyAlignment="1">
      <alignment horizontal="left" vertical="center" wrapText="1"/>
    </xf>
    <xf numFmtId="0" fontId="15" fillId="2" borderId="1" xfId="1" applyFont="1" applyFill="1" applyBorder="1" applyAlignment="1">
      <alignment horizontal="left" vertical="top" wrapText="1"/>
    </xf>
    <xf numFmtId="9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9" fontId="16" fillId="0" borderId="0" xfId="7" applyFont="1" applyFill="1" applyBorder="1" applyAlignment="1">
      <alignment horizontal="center"/>
    </xf>
    <xf numFmtId="0" fontId="18" fillId="0" borderId="1" xfId="2" applyFont="1" applyBorder="1" applyAlignment="1">
      <alignment horizontal="left" vertical="center" wrapText="1"/>
    </xf>
    <xf numFmtId="9" fontId="16" fillId="8" borderId="1" xfId="0" applyNumberFormat="1" applyFont="1" applyFill="1" applyBorder="1" applyAlignment="1">
      <alignment horizontal="center"/>
    </xf>
    <xf numFmtId="0" fontId="15" fillId="2" borderId="0" xfId="1" applyFont="1" applyFill="1" applyAlignment="1">
      <alignment vertical="center" wrapText="1"/>
    </xf>
    <xf numFmtId="0" fontId="12" fillId="8" borderId="1" xfId="0" applyFont="1" applyFill="1" applyBorder="1"/>
    <xf numFmtId="0" fontId="19" fillId="6" borderId="0" xfId="4" applyFont="1" applyFill="1" applyAlignment="1">
      <alignment vertical="top"/>
    </xf>
    <xf numFmtId="10" fontId="16" fillId="8" borderId="2" xfId="0" applyNumberFormat="1" applyFont="1" applyFill="1" applyBorder="1" applyAlignment="1">
      <alignment horizontal="center"/>
    </xf>
    <xf numFmtId="10" fontId="16" fillId="8" borderId="5" xfId="0" applyNumberFormat="1" applyFont="1" applyFill="1" applyBorder="1" applyAlignment="1">
      <alignment horizontal="center"/>
    </xf>
    <xf numFmtId="10" fontId="16" fillId="8" borderId="4" xfId="0" applyNumberFormat="1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0" fontId="17" fillId="7" borderId="1" xfId="1" applyFont="1" applyFill="1" applyBorder="1" applyAlignment="1">
      <alignment horizontal="center" vertical="center"/>
    </xf>
  </cellXfs>
  <cellStyles count="27">
    <cellStyle name="Comma 2" xfId="5" xr:uid="{00000000-0005-0000-0000-000001000000}"/>
    <cellStyle name="Excel Built-in Normal" xfId="25" xr:uid="{64E958E5-107E-4374-9243-7C9E07597505}"/>
    <cellStyle name="Hyperlink 2" xfId="18" xr:uid="{C001F082-A806-48CD-83C5-B3911B4A7007}"/>
    <cellStyle name="Hyperlink 2 4" xfId="24" xr:uid="{685B6AFD-0D75-4B3D-B414-555E85D79C70}"/>
    <cellStyle name="Normal" xfId="0" builtinId="0"/>
    <cellStyle name="Normal 2" xfId="1" xr:uid="{00000000-0005-0000-0000-000004000000}"/>
    <cellStyle name="Normal 2 2" xfId="4" xr:uid="{00000000-0005-0000-0000-000005000000}"/>
    <cellStyle name="Normal 2 2 2" xfId="9" xr:uid="{00000000-0005-0000-0000-000006000000}"/>
    <cellStyle name="Normal 2 3" xfId="13" xr:uid="{00000000-0005-0000-0000-000007000000}"/>
    <cellStyle name="Normal 2 4" xfId="10" xr:uid="{00000000-0005-0000-0000-000008000000}"/>
    <cellStyle name="Normal 2 4 2 2 2" xfId="17" xr:uid="{ABA364CE-A72F-4D66-987E-9E8DC5EDCC7C}"/>
    <cellStyle name="Normal 2 5" xfId="12" xr:uid="{00000000-0005-0000-0000-000009000000}"/>
    <cellStyle name="Normal 2 6" xfId="14" xr:uid="{24EE88E6-D381-4340-9931-1F02858E9C5E}"/>
    <cellStyle name="Normal 2 6 2" xfId="16" xr:uid="{B1193F97-45E0-443F-84B3-9C10F0990FE1}"/>
    <cellStyle name="Normal 2 6 3" xfId="22" xr:uid="{C3F1D40B-F06B-4FFA-8AB3-C5CECE0B52E9}"/>
    <cellStyle name="Normal 2 7" xfId="21" xr:uid="{0FD85F34-16C5-447B-80B4-6E4FBD95DEE5}"/>
    <cellStyle name="Normal 2 8" xfId="26" xr:uid="{7BD29466-1697-49D7-99C9-7199713D14F6}"/>
    <cellStyle name="Normal 3" xfId="6" xr:uid="{00000000-0005-0000-0000-00000A000000}"/>
    <cellStyle name="Normal 4" xfId="8" xr:uid="{00000000-0005-0000-0000-00000B000000}"/>
    <cellStyle name="Normal 5" xfId="11" xr:uid="{00000000-0005-0000-0000-00000C000000}"/>
    <cellStyle name="Normal 5 2" xfId="20" xr:uid="{025B2310-E48D-4758-85AE-36DA90A6DF8D}"/>
    <cellStyle name="Normal 6" xfId="19" xr:uid="{3C9C9F77-3BB8-4F1B-908B-AF2FE1A13A99}"/>
    <cellStyle name="Normal_juni 11" xfId="2" xr:uid="{00000000-0005-0000-0000-00000D000000}"/>
    <cellStyle name="Percent" xfId="7" builtinId="5"/>
    <cellStyle name="Percent 2" xfId="3" xr:uid="{00000000-0005-0000-0000-00000F000000}"/>
    <cellStyle name="Percent 2 2" xfId="15" xr:uid="{455EBAC8-303E-4564-8169-57464831F420}"/>
    <cellStyle name="Percent 2 3" xfId="23" xr:uid="{B4FC9A83-F637-48EF-B411-55B1FB9EB9C3}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90A0-94D4-4F3A-BF64-853E3ACDE5DC}">
  <sheetPr>
    <tabColor rgb="FFFFFF00"/>
  </sheetPr>
  <dimension ref="A1:L28"/>
  <sheetViews>
    <sheetView tabSelected="1" zoomScale="90" zoomScaleNormal="85" workbookViewId="0">
      <selection activeCell="I14" sqref="I14"/>
    </sheetView>
  </sheetViews>
  <sheetFormatPr defaultColWidth="9.1796875" defaultRowHeight="14.5"/>
  <cols>
    <col min="1" max="1" width="34.81640625" style="2" customWidth="1"/>
    <col min="2" max="2" width="9.1796875" style="2"/>
    <col min="3" max="3" width="8.81640625" style="2" customWidth="1"/>
    <col min="4" max="4" width="15" style="2" customWidth="1"/>
    <col min="5" max="5" width="8.81640625" style="2" customWidth="1"/>
    <col min="6" max="6" width="14.7265625" style="2" customWidth="1"/>
    <col min="7" max="7" width="12" style="2" customWidth="1"/>
    <col min="8" max="8" width="12.453125" style="2" customWidth="1"/>
    <col min="9" max="9" width="8.7265625" style="2" customWidth="1"/>
    <col min="10" max="10" width="12.1796875" style="2" customWidth="1"/>
    <col min="11" max="11" width="8" style="2" customWidth="1"/>
    <col min="12" max="12" width="12.1796875" style="2" customWidth="1"/>
    <col min="13" max="16384" width="9.1796875" style="2"/>
  </cols>
  <sheetData>
    <row r="1" spans="1:12">
      <c r="A1" s="29" t="s">
        <v>0</v>
      </c>
      <c r="B1" s="30" t="s">
        <v>6</v>
      </c>
      <c r="C1" s="51" t="s">
        <v>9</v>
      </c>
      <c r="D1" s="52"/>
      <c r="E1" s="51" t="s">
        <v>10</v>
      </c>
      <c r="F1" s="52"/>
      <c r="G1" s="51" t="s">
        <v>11</v>
      </c>
      <c r="H1" s="52"/>
      <c r="I1" s="51" t="s">
        <v>12</v>
      </c>
      <c r="J1" s="52"/>
      <c r="K1" s="51" t="s">
        <v>13</v>
      </c>
      <c r="L1" s="52"/>
    </row>
    <row r="2" spans="1:12">
      <c r="A2" s="31"/>
      <c r="B2" s="32"/>
      <c r="C2" s="3" t="s">
        <v>14</v>
      </c>
      <c r="D2" s="3" t="s">
        <v>8</v>
      </c>
      <c r="E2" s="3" t="s">
        <v>14</v>
      </c>
      <c r="F2" s="3" t="s">
        <v>8</v>
      </c>
      <c r="G2" s="3" t="s">
        <v>14</v>
      </c>
      <c r="H2" s="3" t="s">
        <v>8</v>
      </c>
      <c r="I2" s="3" t="s">
        <v>14</v>
      </c>
      <c r="J2" s="3" t="s">
        <v>8</v>
      </c>
      <c r="K2" s="3" t="s">
        <v>14</v>
      </c>
      <c r="L2" s="3" t="s">
        <v>8</v>
      </c>
    </row>
    <row r="3" spans="1:12">
      <c r="A3" s="53" t="s">
        <v>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1:12">
      <c r="A4" s="33" t="s">
        <v>15</v>
      </c>
      <c r="B4" s="34">
        <v>0.4</v>
      </c>
      <c r="C4" s="4"/>
      <c r="D4" s="5"/>
      <c r="E4" s="5"/>
      <c r="F4" s="5"/>
      <c r="G4" s="5"/>
      <c r="H4" s="5"/>
      <c r="I4" s="5"/>
      <c r="J4" s="5"/>
      <c r="K4" s="5"/>
      <c r="L4" s="5"/>
    </row>
    <row r="5" spans="1:12">
      <c r="A5" s="35" t="s">
        <v>16</v>
      </c>
      <c r="B5" s="36">
        <v>0.4</v>
      </c>
      <c r="C5" s="1">
        <v>1</v>
      </c>
      <c r="D5" s="7">
        <f>$B$5*C5/100%</f>
        <v>0.4</v>
      </c>
      <c r="E5" s="1">
        <v>1</v>
      </c>
      <c r="F5" s="7">
        <f>B5*E5/100%</f>
        <v>0.4</v>
      </c>
      <c r="G5" s="1">
        <v>1</v>
      </c>
      <c r="H5" s="7">
        <f>$B$5*G5/100%</f>
        <v>0.4</v>
      </c>
      <c r="I5" s="1">
        <v>1</v>
      </c>
      <c r="J5" s="7">
        <f>$B$5*I5/100%</f>
        <v>0.4</v>
      </c>
      <c r="K5" s="1">
        <v>1</v>
      </c>
      <c r="L5" s="7">
        <f>$B$5*K5/100%</f>
        <v>0.4</v>
      </c>
    </row>
    <row r="6" spans="1:12">
      <c r="A6" s="33" t="s">
        <v>17</v>
      </c>
      <c r="B6" s="37">
        <v>0.2</v>
      </c>
      <c r="C6" s="8"/>
      <c r="D6" s="9"/>
      <c r="E6" s="8"/>
      <c r="F6" s="9"/>
      <c r="G6" s="8"/>
      <c r="H6" s="9"/>
      <c r="I6" s="8"/>
      <c r="J6" s="9"/>
      <c r="K6" s="8"/>
      <c r="L6" s="9"/>
    </row>
    <row r="7" spans="1:12">
      <c r="A7" s="38" t="s">
        <v>1</v>
      </c>
      <c r="B7" s="36">
        <v>0.02</v>
      </c>
      <c r="C7" s="1">
        <v>1</v>
      </c>
      <c r="D7" s="10">
        <f>$B$7*C7/100%</f>
        <v>0.02</v>
      </c>
      <c r="E7" s="1">
        <v>1</v>
      </c>
      <c r="F7" s="10">
        <f>$B$7*E7/100%</f>
        <v>0.02</v>
      </c>
      <c r="G7" s="1">
        <v>1</v>
      </c>
      <c r="H7" s="10">
        <f>$B$7*G7/100%</f>
        <v>0.02</v>
      </c>
      <c r="I7" s="1">
        <v>1</v>
      </c>
      <c r="J7" s="10">
        <f>$B$7*I7/100%</f>
        <v>0.02</v>
      </c>
      <c r="K7" s="1">
        <v>1</v>
      </c>
      <c r="L7" s="10">
        <f>$B$7*K7/100%</f>
        <v>0.02</v>
      </c>
    </row>
    <row r="8" spans="1:12">
      <c r="A8" s="38" t="s">
        <v>18</v>
      </c>
      <c r="B8" s="11">
        <v>0.03</v>
      </c>
      <c r="C8" s="1">
        <v>1</v>
      </c>
      <c r="D8" s="10">
        <f>$B8*C8/100%</f>
        <v>0.03</v>
      </c>
      <c r="E8" s="1">
        <v>1</v>
      </c>
      <c r="F8" s="10">
        <f>$B8*E8/100%</f>
        <v>0.03</v>
      </c>
      <c r="G8" s="1">
        <v>1</v>
      </c>
      <c r="H8" s="10">
        <f>$B8*G8/100%</f>
        <v>0.03</v>
      </c>
      <c r="I8" s="1">
        <v>1</v>
      </c>
      <c r="J8" s="10">
        <f>$B8*I8/100%</f>
        <v>0.03</v>
      </c>
      <c r="K8" s="1">
        <v>1</v>
      </c>
      <c r="L8" s="10">
        <f>$B8*K8/100%</f>
        <v>0.03</v>
      </c>
    </row>
    <row r="9" spans="1:12">
      <c r="A9" s="38" t="s">
        <v>19</v>
      </c>
      <c r="B9" s="11">
        <v>0.15</v>
      </c>
      <c r="C9" s="1">
        <v>1</v>
      </c>
      <c r="D9" s="10">
        <f>$B9*C9/100%</f>
        <v>0.15</v>
      </c>
      <c r="E9" s="1">
        <v>1</v>
      </c>
      <c r="F9" s="10">
        <f>$B9*E9/100%</f>
        <v>0.15</v>
      </c>
      <c r="G9" s="1">
        <v>1</v>
      </c>
      <c r="H9" s="10">
        <f>$B9*G9/100%</f>
        <v>0.15</v>
      </c>
      <c r="I9" s="1">
        <v>1</v>
      </c>
      <c r="J9" s="10">
        <f>$B9*I9/100%</f>
        <v>0.15</v>
      </c>
      <c r="K9" s="1">
        <v>1</v>
      </c>
      <c r="L9" s="10">
        <f>$B9*K9/100%</f>
        <v>0.15</v>
      </c>
    </row>
    <row r="10" spans="1:12">
      <c r="A10" s="33" t="s">
        <v>20</v>
      </c>
      <c r="B10" s="12">
        <v>0.3</v>
      </c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>
      <c r="A11" s="39" t="s">
        <v>20</v>
      </c>
      <c r="B11" s="13">
        <v>0.3</v>
      </c>
      <c r="C11" s="1">
        <v>1</v>
      </c>
      <c r="D11" s="10">
        <f>$B11*C11/100%</f>
        <v>0.3</v>
      </c>
      <c r="E11" s="1">
        <v>1</v>
      </c>
      <c r="F11" s="10">
        <f>$B11*E11/100%</f>
        <v>0.3</v>
      </c>
      <c r="G11" s="1">
        <v>1</v>
      </c>
      <c r="H11" s="10">
        <f>$B11*G11/100%</f>
        <v>0.3</v>
      </c>
      <c r="I11" s="1">
        <v>1</v>
      </c>
      <c r="J11" s="10">
        <f>$B11*I11/100%</f>
        <v>0.3</v>
      </c>
      <c r="K11" s="1">
        <v>1</v>
      </c>
      <c r="L11" s="10">
        <f>$B11*K11/100%</f>
        <v>0.3</v>
      </c>
    </row>
    <row r="12" spans="1:12">
      <c r="A12" s="14"/>
      <c r="B12" s="15">
        <f>B4+B6+B10</f>
        <v>0.90000000000000013</v>
      </c>
      <c r="C12" s="16">
        <f>SUM(C4:C11)</f>
        <v>5</v>
      </c>
      <c r="D12" s="17">
        <f>D5+D7+D8+D9+D11</f>
        <v>0.90000000000000013</v>
      </c>
      <c r="E12" s="16">
        <f>SUM(E4:E11)</f>
        <v>5</v>
      </c>
      <c r="F12" s="17">
        <f>F5+F7+F8+F9+F11</f>
        <v>0.90000000000000013</v>
      </c>
      <c r="G12" s="16">
        <f>SUM(G4:G11)</f>
        <v>5</v>
      </c>
      <c r="H12" s="17">
        <f>H5+H7+H8+H9+H11</f>
        <v>0.90000000000000013</v>
      </c>
      <c r="I12" s="16">
        <f>SUM(I4:I11)</f>
        <v>5</v>
      </c>
      <c r="J12" s="17">
        <f>J5+J7+J8+J9+J11</f>
        <v>0.90000000000000013</v>
      </c>
      <c r="K12" s="16">
        <f>SUM(K4:K11)</f>
        <v>5</v>
      </c>
      <c r="L12" s="17">
        <f>L5+L7+L8+L9+L11</f>
        <v>0.90000000000000013</v>
      </c>
    </row>
    <row r="13" spans="1:12">
      <c r="A13" s="14"/>
      <c r="B13" s="40"/>
      <c r="C13" s="41"/>
      <c r="D13" s="42"/>
      <c r="E13" s="41"/>
      <c r="F13" s="42"/>
      <c r="G13" s="41"/>
      <c r="H13" s="42"/>
      <c r="I13" s="41"/>
      <c r="J13" s="42"/>
      <c r="K13" s="41"/>
      <c r="L13" s="42"/>
    </row>
    <row r="14" spans="1:12">
      <c r="A14" s="31" t="s">
        <v>0</v>
      </c>
      <c r="B14" s="32" t="s">
        <v>6</v>
      </c>
      <c r="C14" s="18" t="s">
        <v>7</v>
      </c>
      <c r="D14" s="3" t="s">
        <v>9</v>
      </c>
      <c r="E14" s="3" t="s">
        <v>10</v>
      </c>
      <c r="F14" s="3" t="s">
        <v>11</v>
      </c>
      <c r="G14" s="3" t="s">
        <v>12</v>
      </c>
      <c r="H14" s="3" t="s">
        <v>13</v>
      </c>
      <c r="I14" s="41"/>
      <c r="J14" s="42"/>
      <c r="K14" s="41"/>
      <c r="L14" s="42"/>
    </row>
    <row r="15" spans="1:12">
      <c r="A15" s="31"/>
      <c r="B15" s="32"/>
      <c r="C15" s="18"/>
      <c r="D15" s="3"/>
      <c r="E15" s="3"/>
      <c r="F15" s="3"/>
      <c r="G15" s="3"/>
      <c r="H15" s="3"/>
      <c r="I15" s="41"/>
      <c r="J15" s="42"/>
      <c r="K15" s="41"/>
      <c r="L15" s="42"/>
    </row>
    <row r="16" spans="1:12">
      <c r="A16" s="53" t="s">
        <v>2</v>
      </c>
      <c r="B16" s="53"/>
      <c r="C16" s="53"/>
      <c r="D16" s="53"/>
      <c r="E16" s="53"/>
      <c r="F16" s="53"/>
      <c r="G16" s="53"/>
      <c r="H16" s="53"/>
      <c r="I16" s="41"/>
      <c r="J16" s="42"/>
      <c r="K16" s="41"/>
      <c r="L16" s="42"/>
    </row>
    <row r="17" spans="1:12">
      <c r="A17" s="33" t="s">
        <v>21</v>
      </c>
      <c r="B17" s="37">
        <v>0.1</v>
      </c>
      <c r="C17" s="8"/>
      <c r="D17" s="9"/>
      <c r="E17" s="9"/>
      <c r="F17" s="9"/>
      <c r="G17" s="9"/>
      <c r="H17" s="9"/>
      <c r="I17" s="41"/>
      <c r="J17" s="42"/>
      <c r="K17" s="41"/>
      <c r="L17" s="42"/>
    </row>
    <row r="18" spans="1:12" ht="43.5">
      <c r="A18" s="43" t="s">
        <v>22</v>
      </c>
      <c r="B18" s="6">
        <v>7.0000000000000007E-2</v>
      </c>
      <c r="C18" s="19"/>
      <c r="D18" s="20">
        <v>2</v>
      </c>
      <c r="E18" s="20">
        <v>2</v>
      </c>
      <c r="F18" s="20">
        <v>3</v>
      </c>
      <c r="G18" s="20">
        <v>3</v>
      </c>
      <c r="H18" s="20">
        <v>3</v>
      </c>
      <c r="I18" s="41"/>
      <c r="J18" s="42"/>
      <c r="K18" s="41"/>
      <c r="L18" s="42"/>
    </row>
    <row r="19" spans="1:12" ht="58">
      <c r="A19" s="38" t="s">
        <v>23</v>
      </c>
      <c r="B19" s="6">
        <v>0.03</v>
      </c>
      <c r="C19" s="19"/>
      <c r="D19" s="20">
        <v>3</v>
      </c>
      <c r="E19" s="20">
        <v>3</v>
      </c>
      <c r="F19" s="20">
        <v>3</v>
      </c>
      <c r="G19" s="20">
        <v>3</v>
      </c>
      <c r="H19" s="20">
        <v>3</v>
      </c>
      <c r="I19" s="41"/>
      <c r="J19" s="42"/>
      <c r="K19" s="41"/>
      <c r="L19" s="42"/>
    </row>
    <row r="20" spans="1:12">
      <c r="B20" s="44">
        <f>B19+B18</f>
        <v>0.1</v>
      </c>
      <c r="C20" s="44"/>
      <c r="D20" s="21">
        <f>SUMPRODUCT($B$18:$B$19,D18:D19)/3</f>
        <v>7.6666666666666675E-2</v>
      </c>
      <c r="E20" s="21">
        <f>SUMPRODUCT($B$18:$B$19,E18:E19)/3</f>
        <v>7.6666666666666675E-2</v>
      </c>
      <c r="F20" s="21">
        <f>SUMPRODUCT($B$18:$B$19,F18:F19)/3</f>
        <v>0.10000000000000002</v>
      </c>
      <c r="G20" s="21">
        <f>SUMPRODUCT($B$18:$B$19,G18:G19)/3</f>
        <v>0.10000000000000002</v>
      </c>
      <c r="H20" s="21">
        <f>SUMPRODUCT($B$18:$B$19,H18:H19)/3</f>
        <v>0.10000000000000002</v>
      </c>
      <c r="I20" s="41"/>
      <c r="J20" s="42"/>
      <c r="K20" s="41"/>
      <c r="L20" s="42"/>
    </row>
    <row r="21" spans="1:12">
      <c r="A21" s="22"/>
      <c r="B21" s="22"/>
      <c r="C21" s="22"/>
      <c r="D21" s="23"/>
      <c r="E21" s="23"/>
      <c r="F21" s="22"/>
      <c r="G21" s="22"/>
      <c r="H21" s="22"/>
      <c r="I21" s="22"/>
      <c r="J21" s="22"/>
      <c r="K21" s="22"/>
      <c r="L21" s="22"/>
    </row>
    <row r="22" spans="1:12">
      <c r="A22" s="22"/>
      <c r="B22" s="22"/>
      <c r="C22" s="22"/>
      <c r="D22" s="23"/>
      <c r="E22" s="23"/>
      <c r="F22" s="22"/>
      <c r="G22" s="22"/>
      <c r="H22" s="22"/>
      <c r="I22" s="22"/>
      <c r="J22" s="22"/>
      <c r="K22" s="22"/>
      <c r="L22" s="22"/>
    </row>
    <row r="23" spans="1:12">
      <c r="A23" s="45"/>
      <c r="B23" s="45"/>
      <c r="C23" s="46"/>
      <c r="D23" s="24">
        <f>D12+D20</f>
        <v>0.97666666666666679</v>
      </c>
      <c r="E23" s="25"/>
      <c r="F23" s="24">
        <f>F12+E20</f>
        <v>0.97666666666666679</v>
      </c>
      <c r="G23" s="24"/>
      <c r="H23" s="24">
        <f>H12+F20</f>
        <v>1.0000000000000002</v>
      </c>
      <c r="I23" s="24"/>
      <c r="J23" s="24">
        <f>J12+G20</f>
        <v>1.0000000000000002</v>
      </c>
      <c r="K23" s="24"/>
      <c r="L23" s="24">
        <f>L12+H20</f>
        <v>1.0000000000000002</v>
      </c>
    </row>
    <row r="24" spans="1:12">
      <c r="A24" s="45"/>
      <c r="B24" s="45"/>
      <c r="C24" s="48">
        <f>AVERAGE(D23:L23)</f>
        <v>0.99066666666666681</v>
      </c>
      <c r="D24" s="49"/>
      <c r="E24" s="49"/>
      <c r="F24" s="49"/>
      <c r="G24" s="49"/>
      <c r="H24" s="49"/>
      <c r="I24" s="49"/>
      <c r="J24" s="49"/>
      <c r="K24" s="49"/>
      <c r="L24" s="50"/>
    </row>
    <row r="25" spans="1:12">
      <c r="A25" s="47" t="s">
        <v>3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</row>
    <row r="26" spans="1:12">
      <c r="A26" s="26" t="s">
        <v>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spans="1:12">
      <c r="A27" s="28" t="s">
        <v>5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</row>
    <row r="28" spans="1:1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</sheetData>
  <mergeCells count="8">
    <mergeCell ref="C24:L24"/>
    <mergeCell ref="C1:D1"/>
    <mergeCell ref="E1:F1"/>
    <mergeCell ref="G1:H1"/>
    <mergeCell ref="I1:J1"/>
    <mergeCell ref="K1:L1"/>
    <mergeCell ref="A3:L3"/>
    <mergeCell ref="A16:H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SKOR PENCATATAN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Sukmawati</dc:creator>
  <cp:lastModifiedBy>Fajar Abdurrahman</cp:lastModifiedBy>
  <dcterms:created xsi:type="dcterms:W3CDTF">2019-08-07T02:55:19Z</dcterms:created>
  <dcterms:modified xsi:type="dcterms:W3CDTF">2026-03-26T02:40:35Z</dcterms:modified>
</cp:coreProperties>
</file>