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fcc.agent12\Downloads\"/>
    </mc:Choice>
  </mc:AlternateContent>
  <xr:revisionPtr revIDLastSave="0" documentId="13_ncr:1_{A5D48681-5CD4-4582-8B67-E87C992E0292}" xr6:coauthVersionLast="47" xr6:coauthVersionMax="47" xr10:uidLastSave="{00000000-0000-0000-0000-000000000000}"/>
  <bookViews>
    <workbookView xWindow="-110" yWindow="-110" windowWidth="19420" windowHeight="11500" tabRatio="993" xr2:uid="{00000000-000D-0000-FFFF-FFFF00000000}"/>
  </bookViews>
  <sheets>
    <sheet name="SKOR CALL" sheetId="17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78" l="1"/>
  <c r="D18" i="178"/>
  <c r="D17" i="178"/>
  <c r="D16" i="178"/>
  <c r="D15" i="178"/>
  <c r="D13" i="178"/>
  <c r="D12" i="178"/>
  <c r="D11" i="178"/>
  <c r="D10" i="178"/>
  <c r="D9" i="178"/>
  <c r="D8" i="178"/>
  <c r="D7" i="178"/>
  <c r="D6" i="178"/>
  <c r="D5" i="178"/>
  <c r="D4" i="178"/>
  <c r="D3" i="178"/>
  <c r="F19" i="178" l="1"/>
  <c r="G19" i="178"/>
  <c r="D19" i="178"/>
  <c r="H19" i="178"/>
  <c r="E19" i="178"/>
  <c r="I19" i="178"/>
  <c r="E21" i="178" l="1"/>
</calcChain>
</file>

<file path=xl/sharedStrings.xml><?xml version="1.0" encoding="utf-8"?>
<sst xmlns="http://schemas.openxmlformats.org/spreadsheetml/2006/main" count="28" uniqueCount="28">
  <si>
    <t>Parameter</t>
  </si>
  <si>
    <t xml:space="preserve">Remarks / Development Action : </t>
  </si>
  <si>
    <t>Bobot</t>
  </si>
  <si>
    <t>Sampling</t>
  </si>
  <si>
    <t>I</t>
  </si>
  <si>
    <t>II</t>
  </si>
  <si>
    <t>III</t>
  </si>
  <si>
    <t>IV</t>
  </si>
  <si>
    <t>V</t>
  </si>
  <si>
    <t>Non Critical Error</t>
  </si>
  <si>
    <t>Salam Pembuka</t>
  </si>
  <si>
    <t>Menyapa Konsumen</t>
  </si>
  <si>
    <t>Kemampuan Menyimak</t>
  </si>
  <si>
    <t>Kemampuan Bertanya dan Menganalisa</t>
  </si>
  <si>
    <t>Etika bertelepon</t>
  </si>
  <si>
    <t>Kejelasan Informasi, Salam Penutup &amp; Magic Word</t>
  </si>
  <si>
    <t>Edukasi</t>
  </si>
  <si>
    <t>Kualitas Suara, Artikulasi dan Kecepatan Berbicara</t>
  </si>
  <si>
    <t>Pilihan Kata &amp; Tata Bahasa</t>
  </si>
  <si>
    <t>Kemampuan Menjelaskan</t>
  </si>
  <si>
    <t xml:space="preserve">Patience, Emphaty dan TTM (Tolong, Terimakasih dan Maaf). </t>
  </si>
  <si>
    <t>Critical Error</t>
  </si>
  <si>
    <t>Verifikasi Data</t>
  </si>
  <si>
    <t>Keakuratan solusi/ informasi</t>
  </si>
  <si>
    <t>Kemampuan Pencatatan (Kesesuaian Informasi Kontak dan Ketepatan waktu dalam Menutup Layanan)</t>
  </si>
  <si>
    <t>Kemampuan Pencatatan (Kesesuaian Pemilihan Kategori Layanan Pertanyaan APPK)</t>
  </si>
  <si>
    <t xml:space="preserve">1. Non Critical Error   : </t>
  </si>
  <si>
    <t xml:space="preserve">2. Critical Error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</si>
</sst>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(* #,##0.00_);_(* \(#,##0.00\);_(* &quot;-&quot;??_);_(@_)"/>
    <numFmt numFmtId="166" formatCode="[$-421]General"/>
    <numFmt numFmtId="168" formatCode="[$Rp-421]#,##0.00;[Red]&quot;(&quot;[$Rp-421]#,##0.00&quot;)&quot;"/>
  </numFmts>
  <fonts count="27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000000"/>
      <name val="Calibri1"/>
    </font>
    <font>
      <sz val="11"/>
      <color rgb="FF000000"/>
      <name val="Arial"/>
      <family val="2"/>
    </font>
    <font>
      <u/>
      <sz val="11"/>
      <color indexed="3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rgb="FF000000"/>
      <name val="Arial"/>
      <family val="2"/>
    </font>
    <font>
      <u/>
      <sz val="11"/>
      <color rgb="FF0563C1"/>
      <name val="Calibri1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D0CECE"/>
        <bgColor rgb="FFD0CE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5">
    <xf numFmtId="0" fontId="0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2" fillId="0" borderId="0"/>
    <xf numFmtId="0" fontId="12" fillId="0" borderId="0"/>
    <xf numFmtId="0" fontId="13" fillId="0" borderId="0"/>
    <xf numFmtId="9" fontId="14" fillId="0" borderId="0" applyBorder="0" applyProtection="0"/>
    <xf numFmtId="0" fontId="5" fillId="0" borderId="0"/>
    <xf numFmtId="0" fontId="15" fillId="0" borderId="0"/>
    <xf numFmtId="9" fontId="8" fillId="0" borderId="0" applyFont="0" applyFill="0" applyBorder="0" applyAlignment="0" applyProtection="0"/>
    <xf numFmtId="166" fontId="15" fillId="0" borderId="0" applyBorder="0" applyProtection="0"/>
    <xf numFmtId="166" fontId="19" fillId="0" borderId="0" applyBorder="0" applyProtection="0"/>
    <xf numFmtId="0" fontId="20" fillId="0" borderId="0"/>
    <xf numFmtId="166" fontId="19" fillId="0" borderId="0" applyBorder="0" applyProtection="0"/>
    <xf numFmtId="0" fontId="3" fillId="0" borderId="0"/>
    <xf numFmtId="0" fontId="20" fillId="0" borderId="9" applyNumberFormat="0" applyFont="0" applyAlignment="0" applyProtection="0"/>
    <xf numFmtId="0" fontId="23" fillId="10" borderId="9" applyNumberFormat="0" applyAlignment="0" applyProtection="0"/>
    <xf numFmtId="0" fontId="23" fillId="0" borderId="0" applyNumberFormat="0" applyBorder="0" applyAlignment="0" applyProtection="0"/>
    <xf numFmtId="0" fontId="20" fillId="0" borderId="9" applyNumberFormat="0" applyFont="0" applyProtection="0"/>
    <xf numFmtId="166" fontId="24" fillId="0" borderId="0" applyBorder="0" applyProtection="0"/>
    <xf numFmtId="0" fontId="22" fillId="0" borderId="0"/>
    <xf numFmtId="0" fontId="25" fillId="0" borderId="0" applyNumberFormat="0" applyBorder="0" applyProtection="0">
      <alignment horizontal="center"/>
    </xf>
    <xf numFmtId="0" fontId="25" fillId="0" borderId="0" applyNumberFormat="0" applyBorder="0" applyProtection="0">
      <alignment horizontal="center" textRotation="90"/>
    </xf>
    <xf numFmtId="166" fontId="24" fillId="0" borderId="0" applyBorder="0" applyProtection="0"/>
    <xf numFmtId="0" fontId="21" fillId="0" borderId="0"/>
    <xf numFmtId="0" fontId="21" fillId="0" borderId="0"/>
    <xf numFmtId="0" fontId="22" fillId="0" borderId="0"/>
    <xf numFmtId="166" fontId="19" fillId="0" borderId="0" applyBorder="0" applyProtection="0"/>
    <xf numFmtId="0" fontId="22" fillId="0" borderId="0"/>
    <xf numFmtId="0" fontId="2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2" fillId="0" borderId="0"/>
    <xf numFmtId="0" fontId="12" fillId="0" borderId="0"/>
    <xf numFmtId="0" fontId="8" fillId="0" borderId="0"/>
    <xf numFmtId="166" fontId="19" fillId="0" borderId="0" applyBorder="0" applyProtection="0"/>
    <xf numFmtId="0" fontId="22" fillId="0" borderId="0"/>
    <xf numFmtId="0" fontId="26" fillId="0" borderId="0" applyNumberFormat="0" applyBorder="0" applyProtection="0"/>
    <xf numFmtId="168" fontId="26" fillId="0" borderId="0" applyBorder="0" applyProtection="0"/>
    <xf numFmtId="0" fontId="15" fillId="0" borderId="0"/>
    <xf numFmtId="166" fontId="19" fillId="0" borderId="0" applyBorder="0" applyProtection="0"/>
    <xf numFmtId="0" fontId="1" fillId="0" borderId="0"/>
  </cellStyleXfs>
  <cellXfs count="39">
    <xf numFmtId="0" fontId="0" fillId="0" borderId="0" xfId="0"/>
    <xf numFmtId="0" fontId="10" fillId="2" borderId="4" xfId="1" applyFont="1" applyFill="1" applyBorder="1" applyAlignment="1">
      <alignment horizontal="left" vertical="center" wrapText="1"/>
    </xf>
    <xf numFmtId="0" fontId="10" fillId="2" borderId="5" xfId="1" applyFont="1" applyFill="1" applyBorder="1" applyAlignment="1">
      <alignment horizontal="left" vertical="center" wrapText="1"/>
    </xf>
    <xf numFmtId="9" fontId="11" fillId="5" borderId="0" xfId="1" applyNumberFormat="1" applyFont="1" applyFill="1" applyAlignment="1">
      <alignment horizontal="center" vertical="center"/>
    </xf>
    <xf numFmtId="0" fontId="10" fillId="6" borderId="2" xfId="1" applyFont="1" applyFill="1" applyBorder="1" applyAlignment="1">
      <alignment horizontal="center" vertical="center"/>
    </xf>
    <xf numFmtId="0" fontId="10" fillId="6" borderId="3" xfId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9" fontId="10" fillId="4" borderId="7" xfId="1" applyNumberFormat="1" applyFont="1" applyFill="1" applyBorder="1" applyAlignment="1">
      <alignment horizontal="center" vertical="center" wrapText="1"/>
    </xf>
    <xf numFmtId="9" fontId="9" fillId="8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9" fontId="9" fillId="0" borderId="1" xfId="6" applyNumberFormat="1" applyFont="1" applyBorder="1" applyAlignment="1">
      <alignment horizontal="center" vertical="center"/>
    </xf>
    <xf numFmtId="9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6" fillId="3" borderId="9" xfId="0" applyFont="1" applyFill="1" applyBorder="1" applyAlignment="1">
      <alignment horizontal="left" vertical="center" wrapText="1"/>
    </xf>
    <xf numFmtId="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6" fillId="3" borderId="10" xfId="0" applyFont="1" applyFill="1" applyBorder="1" applyAlignment="1">
      <alignment horizontal="left" vertical="center" wrapText="1"/>
    </xf>
    <xf numFmtId="9" fontId="10" fillId="3" borderId="1" xfId="6" applyNumberFormat="1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 wrapText="1"/>
    </xf>
    <xf numFmtId="9" fontId="9" fillId="3" borderId="1" xfId="6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9" fontId="10" fillId="4" borderId="6" xfId="1" applyNumberFormat="1" applyFont="1" applyFill="1" applyBorder="1" applyAlignment="1">
      <alignment horizontal="center" vertical="center" wrapText="1"/>
    </xf>
    <xf numFmtId="0" fontId="16" fillId="9" borderId="9" xfId="0" applyFont="1" applyFill="1" applyBorder="1" applyAlignment="1">
      <alignment horizontal="left" vertical="center" wrapText="1"/>
    </xf>
    <xf numFmtId="9" fontId="17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9" fontId="10" fillId="8" borderId="1" xfId="0" applyNumberFormat="1" applyFont="1" applyFill="1" applyBorder="1" applyAlignment="1">
      <alignment horizontal="center" vertical="center"/>
    </xf>
    <xf numFmtId="9" fontId="11" fillId="5" borderId="1" xfId="0" applyNumberFormat="1" applyFont="1" applyFill="1" applyBorder="1" applyAlignment="1">
      <alignment horizontal="center" vertical="center"/>
    </xf>
    <xf numFmtId="0" fontId="7" fillId="3" borderId="0" xfId="1" applyFont="1" applyFill="1" applyAlignment="1">
      <alignment vertical="center" wrapText="1"/>
    </xf>
    <xf numFmtId="0" fontId="18" fillId="7" borderId="0" xfId="4" applyFont="1" applyFill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horizontal="left" vertical="center" wrapText="1"/>
    </xf>
    <xf numFmtId="9" fontId="4" fillId="0" borderId="0" xfId="10" applyFont="1" applyAlignment="1">
      <alignment vertical="center"/>
    </xf>
    <xf numFmtId="0" fontId="4" fillId="0" borderId="0" xfId="1" quotePrefix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right"/>
    </xf>
    <xf numFmtId="9" fontId="11" fillId="5" borderId="1" xfId="10" applyFont="1" applyFill="1" applyBorder="1" applyAlignment="1">
      <alignment horizontal="center" vertical="center"/>
    </xf>
    <xf numFmtId="10" fontId="11" fillId="5" borderId="0" xfId="1" applyNumberFormat="1" applyFont="1" applyFill="1" applyAlignment="1">
      <alignment horizontal="center" vertical="center"/>
    </xf>
  </cellXfs>
  <cellStyles count="45">
    <cellStyle name="cf1" xfId="16" xr:uid="{00000000-0005-0000-0000-000000000000}"/>
    <cellStyle name="cf2" xfId="17" xr:uid="{00000000-0005-0000-0000-000001000000}"/>
    <cellStyle name="cf3" xfId="18" xr:uid="{00000000-0005-0000-0000-000002000000}"/>
    <cellStyle name="Comma 2" xfId="3" xr:uid="{00000000-0005-0000-0000-000001000000}"/>
    <cellStyle name="ConditionalStyle_1" xfId="19" xr:uid="{00000000-0005-0000-0000-000003000000}"/>
    <cellStyle name="Excel Built-in Hyperlink" xfId="20" xr:uid="{00000000-0005-0000-0000-000004000000}"/>
    <cellStyle name="Excel Built-in Normal" xfId="11" xr:uid="{00000000-0005-0000-0000-000002000000}"/>
    <cellStyle name="Excel Built-in Normal 2" xfId="21" xr:uid="{00000000-0005-0000-0000-000006000000}"/>
    <cellStyle name="Heading" xfId="22" xr:uid="{00000000-0005-0000-0000-000007000000}"/>
    <cellStyle name="Heading1" xfId="23" xr:uid="{00000000-0005-0000-0000-000008000000}"/>
    <cellStyle name="Hyperlink 2" xfId="24" xr:uid="{00000000-0005-0000-0000-000009000000}"/>
    <cellStyle name="Hyperlink 2 2" xfId="25" xr:uid="{00000000-0005-0000-0000-00000A000000}"/>
    <cellStyle name="Hyperlink 3" xfId="26" xr:uid="{00000000-0005-0000-0000-00000B000000}"/>
    <cellStyle name="Normal" xfId="0" builtinId="0"/>
    <cellStyle name="Normal 10" xfId="5" xr:uid="{00000000-0005-0000-0000-000005000000}"/>
    <cellStyle name="Normal 2" xfId="1" xr:uid="{00000000-0005-0000-0000-000006000000}"/>
    <cellStyle name="Normal 2 2" xfId="4" xr:uid="{00000000-0005-0000-0000-000007000000}"/>
    <cellStyle name="Normal 2 2 2" xfId="27" xr:uid="{00000000-0005-0000-0000-00000E000000}"/>
    <cellStyle name="Normal 2 3" xfId="8" xr:uid="{00000000-0005-0000-0000-000008000000}"/>
    <cellStyle name="Normal 2 4" xfId="28" xr:uid="{00000000-0005-0000-0000-00000F000000}"/>
    <cellStyle name="Normal 2 4 2" xfId="29" xr:uid="{00000000-0005-0000-0000-000010000000}"/>
    <cellStyle name="Normal 2 4 2 2" xfId="12" xr:uid="{00000000-0005-0000-0000-000009000000}"/>
    <cellStyle name="Normal 2 4 2 2 2" xfId="14" xr:uid="{00000000-0005-0000-0000-00000A000000}"/>
    <cellStyle name="Normal 2 4 2 2 2 2" xfId="30" xr:uid="{00000000-0005-0000-0000-000013000000}"/>
    <cellStyle name="Normal 2 4 2 2 2 3" xfId="31" xr:uid="{00000000-0005-0000-0000-000014000000}"/>
    <cellStyle name="Normal 2 4 2 2 2 3 2" xfId="32" xr:uid="{00000000-0005-0000-0000-000015000000}"/>
    <cellStyle name="Normal 2 4 2 2 2 4" xfId="43" xr:uid="{31DB2401-4F39-48FA-946F-7D167BD8193B}"/>
    <cellStyle name="Normal 2 4 2 2 3" xfId="33" xr:uid="{00000000-0005-0000-0000-000016000000}"/>
    <cellStyle name="Normal 2 4 2 2 4" xfId="34" xr:uid="{00000000-0005-0000-0000-000017000000}"/>
    <cellStyle name="Normal 2 4 2 2 4 2" xfId="35" xr:uid="{00000000-0005-0000-0000-000018000000}"/>
    <cellStyle name="Normal 3" xfId="6" xr:uid="{00000000-0005-0000-0000-00000B000000}"/>
    <cellStyle name="Normal 3 2" xfId="36" xr:uid="{00000000-0005-0000-0000-000019000000}"/>
    <cellStyle name="Normal 4" xfId="9" xr:uid="{00000000-0005-0000-0000-00000C000000}"/>
    <cellStyle name="Normal 4 2" xfId="37" xr:uid="{00000000-0005-0000-0000-00001A000000}"/>
    <cellStyle name="Normal 5" xfId="13" xr:uid="{00000000-0005-0000-0000-00000D000000}"/>
    <cellStyle name="Normal 5 2" xfId="38" xr:uid="{00000000-0005-0000-0000-00001C000000}"/>
    <cellStyle name="Normal 5 2 2" xfId="39" xr:uid="{00000000-0005-0000-0000-00001D000000}"/>
    <cellStyle name="Normal 6" xfId="15" xr:uid="{00000000-0005-0000-0000-00000E000000}"/>
    <cellStyle name="Normal 6 2" xfId="42" xr:uid="{00000000-0005-0000-0000-00004E000000}"/>
    <cellStyle name="Normal 7" xfId="44" xr:uid="{E5BD64E5-7F34-4E6D-BB42-B3F511F77DD7}"/>
    <cellStyle name="Percent" xfId="10" builtinId="5"/>
    <cellStyle name="Percent 2" xfId="2" xr:uid="{00000000-0005-0000-0000-000010000000}"/>
    <cellStyle name="Result" xfId="40" xr:uid="{00000000-0005-0000-0000-00001E000000}"/>
    <cellStyle name="Result2" xfId="41" xr:uid="{00000000-0005-0000-0000-00001F000000}"/>
    <cellStyle name="TableStyleLight1" xfId="7" xr:uid="{00000000-0005-0000-0000-000011000000}"/>
  </cellStyles>
  <dxfs count="0"/>
  <tableStyles count="0" defaultTableStyle="TableStyleMedium2" defaultPivotStyle="PivotStyleLight16"/>
  <colors>
    <mruColors>
      <color rgb="FFFF66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2FB3-6899-48C5-8D8C-F986F75EE1DE}">
  <dimension ref="A1:I31"/>
  <sheetViews>
    <sheetView showGridLines="0" tabSelected="1" workbookViewId="0">
      <selection activeCell="D8" sqref="D8"/>
    </sheetView>
  </sheetViews>
  <sheetFormatPr defaultColWidth="9.1796875" defaultRowHeight="14.5"/>
  <cols>
    <col min="2" max="2" width="41.81640625" customWidth="1"/>
    <col min="4" max="4" width="20.54296875" customWidth="1"/>
    <col min="5" max="5" width="12" bestFit="1" customWidth="1"/>
  </cols>
  <sheetData>
    <row r="1" spans="2:9" ht="15" thickBot="1">
      <c r="B1" s="4" t="s">
        <v>0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2:9">
      <c r="B2" s="1" t="s">
        <v>9</v>
      </c>
      <c r="C2" s="7">
        <v>0.5</v>
      </c>
      <c r="D2" s="8"/>
      <c r="E2" s="9"/>
      <c r="F2" s="9"/>
      <c r="G2" s="9"/>
      <c r="H2" s="9"/>
      <c r="I2" s="9"/>
    </row>
    <row r="3" spans="2:9">
      <c r="B3" s="10" t="s">
        <v>10</v>
      </c>
      <c r="C3" s="11">
        <v>0.1</v>
      </c>
      <c r="D3" s="12">
        <f t="shared" ref="D3:D12" si="0">C3*$C$2</f>
        <v>0.05</v>
      </c>
      <c r="E3" s="13">
        <v>3</v>
      </c>
      <c r="F3" s="13">
        <v>3</v>
      </c>
      <c r="G3" s="13">
        <v>3</v>
      </c>
      <c r="H3" s="13">
        <v>3</v>
      </c>
      <c r="I3" s="13">
        <v>3</v>
      </c>
    </row>
    <row r="4" spans="2:9">
      <c r="B4" s="14" t="s">
        <v>11</v>
      </c>
      <c r="C4" s="11">
        <v>0.05</v>
      </c>
      <c r="D4" s="15">
        <f t="shared" si="0"/>
        <v>2.5000000000000001E-2</v>
      </c>
      <c r="E4" s="16">
        <v>3</v>
      </c>
      <c r="F4" s="16">
        <v>3</v>
      </c>
      <c r="G4" s="16">
        <v>3</v>
      </c>
      <c r="H4" s="16">
        <v>3</v>
      </c>
      <c r="I4" s="16">
        <v>3</v>
      </c>
    </row>
    <row r="5" spans="2:9">
      <c r="B5" s="14" t="s">
        <v>12</v>
      </c>
      <c r="C5" s="11">
        <v>0.1</v>
      </c>
      <c r="D5" s="15">
        <f t="shared" si="0"/>
        <v>0.05</v>
      </c>
      <c r="E5" s="16">
        <v>3</v>
      </c>
      <c r="F5" s="16">
        <v>2</v>
      </c>
      <c r="G5" s="16">
        <v>3</v>
      </c>
      <c r="H5" s="16">
        <v>2</v>
      </c>
      <c r="I5" s="16">
        <v>2</v>
      </c>
    </row>
    <row r="6" spans="2:9">
      <c r="B6" s="32" t="s">
        <v>13</v>
      </c>
      <c r="C6" s="11">
        <v>0.1</v>
      </c>
      <c r="D6" s="15">
        <f>C6*$C$2</f>
        <v>0.05</v>
      </c>
      <c r="E6" s="16">
        <v>3</v>
      </c>
      <c r="F6" s="16">
        <v>3</v>
      </c>
      <c r="G6" s="16">
        <v>2</v>
      </c>
      <c r="H6" s="16">
        <v>3</v>
      </c>
      <c r="I6" s="16">
        <v>2</v>
      </c>
    </row>
    <row r="7" spans="2:9">
      <c r="B7" s="14" t="s">
        <v>14</v>
      </c>
      <c r="C7" s="11">
        <v>0.1</v>
      </c>
      <c r="D7" s="15">
        <f t="shared" si="0"/>
        <v>0.05</v>
      </c>
      <c r="E7" s="16">
        <v>2</v>
      </c>
      <c r="F7" s="16">
        <v>3</v>
      </c>
      <c r="G7" s="16">
        <v>3</v>
      </c>
      <c r="H7" s="16">
        <v>2</v>
      </c>
      <c r="I7" s="16">
        <v>3</v>
      </c>
    </row>
    <row r="8" spans="2:9" ht="29">
      <c r="B8" s="14" t="s">
        <v>15</v>
      </c>
      <c r="C8" s="11">
        <v>0.1</v>
      </c>
      <c r="D8" s="15">
        <f t="shared" si="0"/>
        <v>0.05</v>
      </c>
      <c r="E8" s="16">
        <v>3</v>
      </c>
      <c r="F8" s="16">
        <v>0</v>
      </c>
      <c r="G8" s="16">
        <v>3</v>
      </c>
      <c r="H8" s="16">
        <v>3</v>
      </c>
      <c r="I8" s="16">
        <v>3</v>
      </c>
    </row>
    <row r="9" spans="2:9">
      <c r="B9" s="17" t="s">
        <v>16</v>
      </c>
      <c r="C9" s="18">
        <v>0.05</v>
      </c>
      <c r="D9" s="15">
        <f t="shared" si="0"/>
        <v>2.5000000000000001E-2</v>
      </c>
      <c r="E9" s="16">
        <v>3</v>
      </c>
      <c r="F9" s="16">
        <v>3</v>
      </c>
      <c r="G9" s="16">
        <v>3</v>
      </c>
      <c r="H9" s="16">
        <v>3</v>
      </c>
      <c r="I9" s="16">
        <v>3</v>
      </c>
    </row>
    <row r="10" spans="2:9" ht="29">
      <c r="B10" s="19" t="s">
        <v>17</v>
      </c>
      <c r="C10" s="20">
        <v>0.1</v>
      </c>
      <c r="D10" s="15">
        <f t="shared" si="0"/>
        <v>0.05</v>
      </c>
      <c r="E10" s="16">
        <v>3</v>
      </c>
      <c r="F10" s="16">
        <v>2</v>
      </c>
      <c r="G10" s="16">
        <v>3</v>
      </c>
      <c r="H10" s="16">
        <v>3</v>
      </c>
      <c r="I10" s="16">
        <v>3</v>
      </c>
    </row>
    <row r="11" spans="2:9">
      <c r="B11" s="21" t="s">
        <v>18</v>
      </c>
      <c r="C11" s="20">
        <v>0.1</v>
      </c>
      <c r="D11" s="15">
        <f t="shared" si="0"/>
        <v>0.05</v>
      </c>
      <c r="E11" s="16">
        <v>3</v>
      </c>
      <c r="F11" s="16">
        <v>3</v>
      </c>
      <c r="G11" s="16">
        <v>3</v>
      </c>
      <c r="H11" s="16">
        <v>3</v>
      </c>
      <c r="I11" s="16">
        <v>3</v>
      </c>
    </row>
    <row r="12" spans="2:9">
      <c r="B12" s="19" t="s">
        <v>19</v>
      </c>
      <c r="C12" s="20">
        <v>0.1</v>
      </c>
      <c r="D12" s="15">
        <f t="shared" si="0"/>
        <v>0.05</v>
      </c>
      <c r="E12" s="16">
        <v>3</v>
      </c>
      <c r="F12" s="16">
        <v>3</v>
      </c>
      <c r="G12" s="16">
        <v>3</v>
      </c>
      <c r="H12" s="16">
        <v>3</v>
      </c>
      <c r="I12" s="16">
        <v>2</v>
      </c>
    </row>
    <row r="13" spans="2:9" ht="29">
      <c r="B13" s="19" t="s">
        <v>20</v>
      </c>
      <c r="C13" s="20">
        <v>0.1</v>
      </c>
      <c r="D13" s="15">
        <f>C13*$C$2</f>
        <v>0.05</v>
      </c>
      <c r="E13" s="16">
        <v>3</v>
      </c>
      <c r="F13" s="16">
        <v>2</v>
      </c>
      <c r="G13" s="16">
        <v>3</v>
      </c>
      <c r="H13" s="16">
        <v>3</v>
      </c>
      <c r="I13" s="16">
        <v>3</v>
      </c>
    </row>
    <row r="14" spans="2:9">
      <c r="B14" s="2" t="s">
        <v>21</v>
      </c>
      <c r="C14" s="22">
        <v>0.5</v>
      </c>
      <c r="D14" s="8"/>
      <c r="E14" s="9"/>
      <c r="F14" s="9"/>
      <c r="G14" s="9"/>
      <c r="H14" s="9"/>
      <c r="I14" s="9"/>
    </row>
    <row r="15" spans="2:9">
      <c r="B15" s="23" t="s">
        <v>22</v>
      </c>
      <c r="C15" s="24">
        <v>0.2</v>
      </c>
      <c r="D15" s="15">
        <f>C15*$C$14</f>
        <v>0.1</v>
      </c>
      <c r="E15" s="16">
        <v>3</v>
      </c>
      <c r="F15" s="16">
        <v>3</v>
      </c>
      <c r="G15" s="16">
        <v>3</v>
      </c>
      <c r="H15" s="16">
        <v>3</v>
      </c>
      <c r="I15" s="16">
        <v>2</v>
      </c>
    </row>
    <row r="16" spans="2:9">
      <c r="B16" s="23" t="s">
        <v>23</v>
      </c>
      <c r="C16" s="20">
        <v>0.4</v>
      </c>
      <c r="D16" s="15">
        <f>C16*$C$14</f>
        <v>0.2</v>
      </c>
      <c r="E16" s="16">
        <v>3</v>
      </c>
      <c r="F16" s="16">
        <v>3</v>
      </c>
      <c r="G16" s="16">
        <v>3</v>
      </c>
      <c r="H16" s="16">
        <v>3</v>
      </c>
      <c r="I16" s="16">
        <v>3</v>
      </c>
    </row>
    <row r="17" spans="1:9" ht="43.5">
      <c r="B17" s="14" t="s">
        <v>24</v>
      </c>
      <c r="C17" s="20">
        <v>0.2</v>
      </c>
      <c r="D17" s="15">
        <f>C17*$C$14</f>
        <v>0.1</v>
      </c>
      <c r="E17" s="16">
        <v>3</v>
      </c>
      <c r="F17" s="16">
        <v>3</v>
      </c>
      <c r="G17" s="16">
        <v>3</v>
      </c>
      <c r="H17" s="16">
        <v>3</v>
      </c>
      <c r="I17" s="16">
        <v>3</v>
      </c>
    </row>
    <row r="18" spans="1:9" ht="29">
      <c r="B18" s="14" t="s">
        <v>25</v>
      </c>
      <c r="C18" s="20">
        <v>0.2</v>
      </c>
      <c r="D18" s="15">
        <f>C18*$C$14</f>
        <v>0.1</v>
      </c>
      <c r="E18" s="16">
        <v>3</v>
      </c>
      <c r="F18" s="16">
        <v>3</v>
      </c>
      <c r="G18" s="16">
        <v>3</v>
      </c>
      <c r="H18" s="16">
        <v>3</v>
      </c>
      <c r="I18" s="16">
        <v>3</v>
      </c>
    </row>
    <row r="19" spans="1:9">
      <c r="B19" s="25"/>
      <c r="C19" s="26">
        <f>C2+C14</f>
        <v>1</v>
      </c>
      <c r="D19" s="27">
        <f>SUM(D2:D18)</f>
        <v>1</v>
      </c>
      <c r="E19" s="37">
        <f>SUMPRODUCT(D3:D18,E3:E18)/3</f>
        <v>0.98333333333333306</v>
      </c>
      <c r="F19" s="37">
        <f>SUMPRODUCT(D3:D18,F3:F18)/3</f>
        <v>0.9</v>
      </c>
      <c r="G19" s="37">
        <f>SUMPRODUCT(D3:D18,G3:G18)/3</f>
        <v>0.98333333333333306</v>
      </c>
      <c r="H19" s="37">
        <f>SUMPRODUCT(D3:D18,H3:H18)/3</f>
        <v>0.96666666666666645</v>
      </c>
      <c r="I19" s="37">
        <f>SUMPRODUCT(D3:D18,I3:I18)/3</f>
        <v>0.91666666666666663</v>
      </c>
    </row>
    <row r="20" spans="1:9">
      <c r="B20" s="31"/>
      <c r="C20" s="31"/>
      <c r="D20" s="31"/>
      <c r="E20" s="33"/>
      <c r="F20" s="31"/>
      <c r="G20" s="31"/>
      <c r="H20" s="31"/>
      <c r="I20" s="31"/>
    </row>
    <row r="21" spans="1:9">
      <c r="B21" s="28"/>
      <c r="C21" s="28"/>
      <c r="D21" s="31"/>
      <c r="E21" s="38">
        <f>AVERAGE(E19:I19)</f>
        <v>0.94999999999999984</v>
      </c>
      <c r="F21" s="3"/>
      <c r="G21" s="3"/>
      <c r="H21" s="3"/>
      <c r="I21" s="3"/>
    </row>
    <row r="22" spans="1:9">
      <c r="B22" s="29" t="s">
        <v>1</v>
      </c>
      <c r="C22" s="29"/>
      <c r="D22" s="29"/>
      <c r="E22" s="29"/>
      <c r="F22" s="29"/>
      <c r="G22" s="29"/>
      <c r="H22" s="29"/>
      <c r="I22" s="29"/>
    </row>
    <row r="23" spans="1:9">
      <c r="B23" s="34" t="s">
        <v>26</v>
      </c>
      <c r="C23" s="35"/>
      <c r="D23" s="35"/>
      <c r="E23" s="35"/>
      <c r="F23" s="35"/>
      <c r="G23" s="35"/>
      <c r="H23" s="35"/>
      <c r="I23" s="35"/>
    </row>
    <row r="24" spans="1:9">
      <c r="B24" s="30" t="s">
        <v>27</v>
      </c>
      <c r="C24" s="30"/>
      <c r="D24" s="30"/>
      <c r="E24" s="30"/>
      <c r="F24" s="30"/>
      <c r="G24" s="30"/>
      <c r="H24" s="30"/>
      <c r="I24" s="30"/>
    </row>
    <row r="25" spans="1:9">
      <c r="B25" s="31"/>
      <c r="C25" s="31"/>
      <c r="D25" s="31"/>
      <c r="E25" s="31"/>
      <c r="F25" s="31"/>
      <c r="G25" s="31"/>
      <c r="H25" s="31"/>
      <c r="I25" s="31"/>
    </row>
    <row r="26" spans="1:9">
      <c r="B26" s="31"/>
      <c r="C26" s="31"/>
      <c r="D26" s="31"/>
      <c r="E26" s="31"/>
      <c r="F26" s="31"/>
      <c r="G26" s="31"/>
      <c r="H26" s="31"/>
      <c r="I26" s="31"/>
    </row>
    <row r="27" spans="1:9">
      <c r="B27" s="31"/>
      <c r="C27" s="31"/>
      <c r="D27" s="31"/>
      <c r="E27" s="31"/>
      <c r="F27" s="31"/>
      <c r="G27" s="31"/>
      <c r="H27" s="31"/>
      <c r="I27" s="31"/>
    </row>
    <row r="31" spans="1:9">
      <c r="A31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SKOR CALL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Ninggar Pramesti</dc:creator>
  <cp:lastModifiedBy>Fajar Abdurrahman</cp:lastModifiedBy>
  <dcterms:created xsi:type="dcterms:W3CDTF">2018-12-04T01:14:34Z</dcterms:created>
  <dcterms:modified xsi:type="dcterms:W3CDTF">2026-03-27T02:39:42Z</dcterms:modified>
</cp:coreProperties>
</file>