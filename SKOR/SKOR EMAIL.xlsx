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fcc.agent12\Downloads\"/>
    </mc:Choice>
  </mc:AlternateContent>
  <xr:revisionPtr revIDLastSave="0" documentId="13_ncr:1_{CBC36DC0-6FAF-41D6-B018-6A77128FA0FA}" xr6:coauthVersionLast="47" xr6:coauthVersionMax="47" xr10:uidLastSave="{00000000-0000-0000-0000-000000000000}"/>
  <bookViews>
    <workbookView xWindow="-110" yWindow="-110" windowWidth="19420" windowHeight="11500" tabRatio="801" xr2:uid="{00000000-000D-0000-FFFF-FFFF00000000}"/>
  </bookViews>
  <sheets>
    <sheet name="EMAIL" sheetId="182" r:id="rId1"/>
  </sheets>
  <definedNames>
    <definedName name="_">#REF!</definedName>
    <definedName name="a">#REF!</definedName>
    <definedName name="aaa">#REF!</definedName>
    <definedName name="Dheo">#REF!</definedName>
    <definedName name="f">#REF!</definedName>
    <definedName name="fwsad">#REF!</definedName>
    <definedName name="ge">#REF!</definedName>
    <definedName name="grfd">#REF!</definedName>
    <definedName name="grfg">#REF!</definedName>
    <definedName name="IraDestri">#REF!</definedName>
    <definedName name="j">#REF!</definedName>
    <definedName name="nju">#REF!</definedName>
    <definedName name="Tax">#REF!</definedName>
    <definedName name="TaxRate">#REF!</definedName>
    <definedName name="wfrewfdergvr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82" l="1"/>
  <c r="D12" i="182"/>
  <c r="D11" i="182"/>
  <c r="D10" i="182"/>
  <c r="D9" i="182"/>
  <c r="D7" i="182"/>
  <c r="D6" i="182"/>
  <c r="D5" i="182"/>
  <c r="D4" i="182"/>
  <c r="H13" i="182" l="1"/>
  <c r="F13" i="182"/>
  <c r="E13" i="182"/>
  <c r="I13" i="182"/>
  <c r="G13" i="182"/>
  <c r="D13" i="182"/>
  <c r="E15" i="182" l="1"/>
</calcChain>
</file>

<file path=xl/sharedStrings.xml><?xml version="1.0" encoding="utf-8"?>
<sst xmlns="http://schemas.openxmlformats.org/spreadsheetml/2006/main" count="17" uniqueCount="17">
  <si>
    <t>Parameter</t>
  </si>
  <si>
    <t>Non Critical Error</t>
  </si>
  <si>
    <t>Nama Konsumen</t>
  </si>
  <si>
    <t>Critical Error</t>
  </si>
  <si>
    <t xml:space="preserve">Remarks / Development Action : </t>
  </si>
  <si>
    <t xml:space="preserve">1. Non Critical Error   : </t>
  </si>
  <si>
    <t xml:space="preserve">2. Critical Error  : </t>
  </si>
  <si>
    <t>Proper Input: Ketepatan Waktu dan Menutup Layanan</t>
  </si>
  <si>
    <t>Kemampuan Analisa dan Ketepatan Solusi</t>
  </si>
  <si>
    <t>Bobot</t>
  </si>
  <si>
    <t>Sampling</t>
  </si>
  <si>
    <t>Score: 0-3</t>
  </si>
  <si>
    <t>Salam Pembuka</t>
  </si>
  <si>
    <t>Penggunaan bahasa yang sopan, benar, dan efektif</t>
  </si>
  <si>
    <t>Menutup email (untuk Konsumen, Internal OJK dan PUJK)</t>
  </si>
  <si>
    <t>Proper Input: Kesesuaian pemilihan Nama PUJK/Perusahaan, Jenis Produk, dan Jenis Permasalahan</t>
  </si>
  <si>
    <t>Proper Input: Kesesuaian penulisan informasi kontak serta pemilihan kategori media dan jenis tiket 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</si>
</sst>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21]General"/>
  </numFmts>
  <fonts count="2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1"/>
    </font>
    <font>
      <u/>
      <sz val="11"/>
      <color rgb="FF0563C1"/>
      <name val="Calibri1"/>
    </font>
    <font>
      <sz val="11"/>
      <color rgb="FF000000"/>
      <name val="Arial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9" fillId="0" borderId="0"/>
    <xf numFmtId="0" fontId="14" fillId="0" borderId="0"/>
    <xf numFmtId="9" fontId="9" fillId="0" borderId="0" applyFont="0" applyFill="0" applyBorder="0" applyAlignment="0" applyProtection="0"/>
    <xf numFmtId="0" fontId="15" fillId="0" borderId="0"/>
    <xf numFmtId="164" fontId="9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5" fillId="0" borderId="0"/>
    <xf numFmtId="0" fontId="7" fillId="0" borderId="0"/>
    <xf numFmtId="0" fontId="6" fillId="0" borderId="0">
      <alignment vertical="center"/>
    </xf>
    <xf numFmtId="0" fontId="6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165" fontId="22" fillId="0" borderId="0" applyBorder="0" applyProtection="0"/>
    <xf numFmtId="165" fontId="23" fillId="0" borderId="0" applyBorder="0" applyProtection="0"/>
    <xf numFmtId="0" fontId="24" fillId="0" borderId="0"/>
    <xf numFmtId="0" fontId="24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5" fontId="18" fillId="0" borderId="0" applyBorder="0" applyProtection="0"/>
    <xf numFmtId="0" fontId="1" fillId="0" borderId="0"/>
  </cellStyleXfs>
  <cellXfs count="38">
    <xf numFmtId="0" fontId="0" fillId="0" borderId="0" xfId="0"/>
    <xf numFmtId="0" fontId="10" fillId="0" borderId="0" xfId="1" applyFont="1" applyAlignment="1">
      <alignment vertical="center"/>
    </xf>
    <xf numFmtId="0" fontId="9" fillId="0" borderId="0" xfId="1" quotePrefix="1" applyAlignment="1">
      <alignment vertical="top" wrapText="1"/>
    </xf>
    <xf numFmtId="0" fontId="9" fillId="0" borderId="0" xfId="1" applyAlignment="1">
      <alignment vertical="top" wrapText="1"/>
    </xf>
    <xf numFmtId="0" fontId="8" fillId="0" borderId="0" xfId="1" applyFont="1" applyAlignment="1">
      <alignment vertical="center"/>
    </xf>
    <xf numFmtId="0" fontId="12" fillId="3" borderId="1" xfId="1" applyFont="1" applyFill="1" applyBorder="1" applyAlignment="1">
      <alignment horizontal="center" vertical="center"/>
    </xf>
    <xf numFmtId="9" fontId="12" fillId="4" borderId="1" xfId="1" applyNumberFormat="1" applyFont="1" applyFill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/>
    </xf>
    <xf numFmtId="9" fontId="19" fillId="4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left" vertical="center" wrapText="1"/>
    </xf>
    <xf numFmtId="0" fontId="13" fillId="4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vertical="center"/>
    </xf>
    <xf numFmtId="9" fontId="3" fillId="4" borderId="1" xfId="0" applyNumberFormat="1" applyFont="1" applyFill="1" applyBorder="1" applyAlignment="1">
      <alignment horizontal="center"/>
    </xf>
    <xf numFmtId="0" fontId="20" fillId="0" borderId="4" xfId="2" applyFont="1" applyBorder="1" applyAlignment="1">
      <alignment horizontal="left" vertical="center" wrapText="1"/>
    </xf>
    <xf numFmtId="9" fontId="17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20" fillId="0" borderId="1" xfId="2" applyFont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/>
    </xf>
    <xf numFmtId="0" fontId="20" fillId="0" borderId="6" xfId="2" applyFont="1" applyBorder="1" applyAlignment="1">
      <alignment horizontal="left" vertical="center" wrapText="1"/>
    </xf>
    <xf numFmtId="9" fontId="3" fillId="3" borderId="1" xfId="6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20" fillId="6" borderId="1" xfId="2" applyFont="1" applyFill="1" applyBorder="1" applyAlignment="1">
      <alignment horizontal="left" vertical="center" wrapText="1"/>
    </xf>
    <xf numFmtId="0" fontId="3" fillId="0" borderId="0" xfId="1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3" borderId="1" xfId="0" applyFont="1" applyFill="1" applyBorder="1" applyAlignment="1">
      <alignment horizontal="center"/>
    </xf>
    <xf numFmtId="9" fontId="3" fillId="0" borderId="0" xfId="7" applyFont="1" applyAlignment="1">
      <alignment horizontal="center" vertical="center"/>
    </xf>
    <xf numFmtId="0" fontId="21" fillId="5" borderId="0" xfId="4" applyFont="1" applyFill="1" applyAlignment="1">
      <alignment horizontal="left" vertical="top"/>
    </xf>
    <xf numFmtId="9" fontId="13" fillId="2" borderId="1" xfId="7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10" fontId="13" fillId="2" borderId="0" xfId="1" applyNumberFormat="1" applyFont="1" applyFill="1" applyAlignment="1">
      <alignment horizontal="center" vertical="center"/>
    </xf>
    <xf numFmtId="0" fontId="21" fillId="5" borderId="0" xfId="4" applyFont="1" applyFill="1" applyAlignment="1">
      <alignment horizontal="center" vertical="center"/>
    </xf>
  </cellXfs>
  <cellStyles count="27">
    <cellStyle name="Comma 2" xfId="5" xr:uid="{00000000-0005-0000-0000-000001000000}"/>
    <cellStyle name="Excel Built-in Normal" xfId="25" xr:uid="{64E958E5-107E-4374-9243-7C9E07597505}"/>
    <cellStyle name="Hyperlink 2" xfId="18" xr:uid="{C001F082-A806-48CD-83C5-B3911B4A7007}"/>
    <cellStyle name="Hyperlink 2 4" xfId="24" xr:uid="{685B6AFD-0D75-4B3D-B414-555E85D79C70}"/>
    <cellStyle name="Normal" xfId="0" builtinId="0"/>
    <cellStyle name="Normal 2" xfId="1" xr:uid="{00000000-0005-0000-0000-000004000000}"/>
    <cellStyle name="Normal 2 2" xfId="4" xr:uid="{00000000-0005-0000-0000-000005000000}"/>
    <cellStyle name="Normal 2 2 2" xfId="9" xr:uid="{00000000-0005-0000-0000-000006000000}"/>
    <cellStyle name="Normal 2 3" xfId="13" xr:uid="{00000000-0005-0000-0000-000007000000}"/>
    <cellStyle name="Normal 2 4" xfId="10" xr:uid="{00000000-0005-0000-0000-000008000000}"/>
    <cellStyle name="Normal 2 4 2 2 2" xfId="17" xr:uid="{ABA364CE-A72F-4D66-987E-9E8DC5EDCC7C}"/>
    <cellStyle name="Normal 2 5" xfId="12" xr:uid="{00000000-0005-0000-0000-000009000000}"/>
    <cellStyle name="Normal 2 6" xfId="14" xr:uid="{24EE88E6-D381-4340-9931-1F02858E9C5E}"/>
    <cellStyle name="Normal 2 6 2" xfId="16" xr:uid="{B1193F97-45E0-443F-84B3-9C10F0990FE1}"/>
    <cellStyle name="Normal 2 6 3" xfId="22" xr:uid="{C3F1D40B-F06B-4FFA-8AB3-C5CECE0B52E9}"/>
    <cellStyle name="Normal 2 7" xfId="21" xr:uid="{0FD85F34-16C5-447B-80B4-6E4FBD95DEE5}"/>
    <cellStyle name="Normal 2 8" xfId="26" xr:uid="{7BD29466-1697-49D7-99C9-7199713D14F6}"/>
    <cellStyle name="Normal 3" xfId="6" xr:uid="{00000000-0005-0000-0000-00000A000000}"/>
    <cellStyle name="Normal 4" xfId="8" xr:uid="{00000000-0005-0000-0000-00000B000000}"/>
    <cellStyle name="Normal 5" xfId="11" xr:uid="{00000000-0005-0000-0000-00000C000000}"/>
    <cellStyle name="Normal 5 2" xfId="20" xr:uid="{025B2310-E48D-4758-85AE-36DA90A6DF8D}"/>
    <cellStyle name="Normal 6" xfId="19" xr:uid="{3C9C9F77-3BB8-4F1B-908B-AF2FE1A13A99}"/>
    <cellStyle name="Normal_juni 11" xfId="2" xr:uid="{00000000-0005-0000-0000-00000D000000}"/>
    <cellStyle name="Percent" xfId="7" builtinId="5"/>
    <cellStyle name="Percent 2" xfId="3" xr:uid="{00000000-0005-0000-0000-00000F000000}"/>
    <cellStyle name="Percent 2 2" xfId="15" xr:uid="{455EBAC8-303E-4564-8169-57464831F420}"/>
    <cellStyle name="Percent 2 3" xfId="23" xr:uid="{B4FC9A83-F637-48EF-B411-55B1FB9EB9C3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8750-4601-4EAC-9768-0A9FAB151097}">
  <sheetPr>
    <tabColor theme="0"/>
  </sheetPr>
  <dimension ref="A1:M25"/>
  <sheetViews>
    <sheetView tabSelected="1" workbookViewId="0">
      <selection activeCell="C17" sqref="C17:I17"/>
    </sheetView>
  </sheetViews>
  <sheetFormatPr defaultRowHeight="14.5"/>
  <cols>
    <col min="2" max="2" width="57.54296875" customWidth="1"/>
    <col min="3" max="9" width="10.7265625" customWidth="1"/>
    <col min="12" max="12" width="57.54296875" customWidth="1"/>
    <col min="13" max="13" width="16.1796875" customWidth="1"/>
    <col min="14" max="19" width="10.7265625" customWidth="1"/>
  </cols>
  <sheetData>
    <row r="1" spans="1:13" ht="15" thickBot="1">
      <c r="A1" s="16"/>
      <c r="B1" s="35" t="s">
        <v>11</v>
      </c>
      <c r="C1" s="35"/>
      <c r="D1" s="35"/>
      <c r="E1" s="35"/>
      <c r="F1" s="35"/>
      <c r="G1" s="35"/>
      <c r="H1" s="35"/>
      <c r="I1" s="35"/>
      <c r="J1" s="16"/>
      <c r="K1" s="16"/>
      <c r="L1" s="16"/>
      <c r="M1" s="16"/>
    </row>
    <row r="2" spans="1:13" ht="15" thickBot="1">
      <c r="A2" s="16"/>
      <c r="B2" s="13" t="s">
        <v>0</v>
      </c>
      <c r="C2" s="5" t="s">
        <v>9</v>
      </c>
      <c r="D2" s="31" t="s">
        <v>10</v>
      </c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6"/>
      <c r="K2" s="16"/>
      <c r="L2" s="16"/>
      <c r="M2" s="16"/>
    </row>
    <row r="3" spans="1:13">
      <c r="A3" s="16"/>
      <c r="B3" s="14" t="s">
        <v>1</v>
      </c>
      <c r="C3" s="6">
        <v>0.35</v>
      </c>
      <c r="D3" s="19"/>
      <c r="E3" s="8"/>
      <c r="F3" s="8"/>
      <c r="G3" s="8"/>
      <c r="H3" s="8"/>
      <c r="I3" s="8"/>
      <c r="J3" s="16"/>
      <c r="K3" s="16"/>
      <c r="L3" s="16"/>
      <c r="M3" s="16"/>
    </row>
    <row r="4" spans="1:13">
      <c r="A4" s="16"/>
      <c r="B4" s="20" t="s">
        <v>12</v>
      </c>
      <c r="C4" s="21">
        <v>0.2</v>
      </c>
      <c r="D4" s="22">
        <f>C4*$C$3</f>
        <v>6.9999999999999993E-2</v>
      </c>
      <c r="E4" s="12">
        <v>3</v>
      </c>
      <c r="F4" s="12">
        <v>3</v>
      </c>
      <c r="G4" s="12">
        <v>3</v>
      </c>
      <c r="H4" s="12">
        <v>3</v>
      </c>
      <c r="I4" s="12">
        <v>3</v>
      </c>
      <c r="J4" s="16"/>
      <c r="K4" s="16"/>
    </row>
    <row r="5" spans="1:13">
      <c r="A5" s="16"/>
      <c r="B5" s="20" t="s">
        <v>2</v>
      </c>
      <c r="C5" s="21">
        <v>0.25</v>
      </c>
      <c r="D5" s="22">
        <f>C5*$C$3</f>
        <v>8.7499999999999994E-2</v>
      </c>
      <c r="E5" s="12">
        <v>3</v>
      </c>
      <c r="F5" s="12">
        <v>3</v>
      </c>
      <c r="G5" s="12">
        <v>3</v>
      </c>
      <c r="H5" s="12">
        <v>3</v>
      </c>
      <c r="I5" s="12">
        <v>3</v>
      </c>
      <c r="J5" s="16"/>
      <c r="K5" s="16"/>
      <c r="L5" s="16"/>
      <c r="M5" s="16"/>
    </row>
    <row r="6" spans="1:13">
      <c r="A6" s="16"/>
      <c r="B6" s="23" t="s">
        <v>13</v>
      </c>
      <c r="C6" s="21">
        <v>0.3</v>
      </c>
      <c r="D6" s="22">
        <f>C6*$C$3</f>
        <v>0.105</v>
      </c>
      <c r="E6" s="12">
        <v>3</v>
      </c>
      <c r="F6" s="12">
        <v>3</v>
      </c>
      <c r="G6" s="12">
        <v>3</v>
      </c>
      <c r="H6" s="12">
        <v>2</v>
      </c>
      <c r="I6" s="12">
        <v>3</v>
      </c>
      <c r="J6" s="16"/>
      <c r="K6" s="16"/>
      <c r="L6" s="16"/>
      <c r="M6" s="16"/>
    </row>
    <row r="7" spans="1:13">
      <c r="A7" s="16"/>
      <c r="B7" s="23" t="s">
        <v>14</v>
      </c>
      <c r="C7" s="21">
        <v>0.25</v>
      </c>
      <c r="D7" s="22">
        <f>C7*$C$3</f>
        <v>8.7499999999999994E-2</v>
      </c>
      <c r="E7" s="12">
        <v>3</v>
      </c>
      <c r="F7" s="12">
        <v>3</v>
      </c>
      <c r="G7" s="12">
        <v>3</v>
      </c>
      <c r="H7" s="12">
        <v>3</v>
      </c>
      <c r="I7" s="12">
        <v>3</v>
      </c>
      <c r="J7" s="16"/>
      <c r="K7" s="16"/>
      <c r="L7" s="16"/>
      <c r="M7" s="16"/>
    </row>
    <row r="8" spans="1:13">
      <c r="A8" s="16"/>
      <c r="B8" s="7" t="s">
        <v>3</v>
      </c>
      <c r="C8" s="6">
        <v>0.65</v>
      </c>
      <c r="D8" s="24"/>
      <c r="E8" s="8"/>
      <c r="F8" s="8"/>
      <c r="G8" s="8"/>
      <c r="H8" s="8"/>
      <c r="I8" s="8"/>
      <c r="J8" s="16"/>
      <c r="K8" s="16"/>
      <c r="L8" s="16"/>
      <c r="M8" s="16"/>
    </row>
    <row r="9" spans="1:13">
      <c r="A9" s="16"/>
      <c r="B9" s="23" t="s">
        <v>8</v>
      </c>
      <c r="C9" s="21">
        <v>0.4</v>
      </c>
      <c r="D9" s="22">
        <f>C9*$C$8</f>
        <v>0.26</v>
      </c>
      <c r="E9" s="12">
        <v>1</v>
      </c>
      <c r="F9" s="12">
        <v>3</v>
      </c>
      <c r="G9" s="12">
        <v>3</v>
      </c>
      <c r="H9" s="12">
        <v>3</v>
      </c>
      <c r="I9" s="12">
        <v>3</v>
      </c>
      <c r="J9" s="16"/>
      <c r="K9" s="16"/>
      <c r="L9" s="16"/>
      <c r="M9" s="16"/>
    </row>
    <row r="10" spans="1:13" ht="29">
      <c r="A10" s="16"/>
      <c r="B10" s="25" t="s">
        <v>16</v>
      </c>
      <c r="C10" s="26">
        <v>0.2</v>
      </c>
      <c r="D10" s="22">
        <f>C10*$C$8</f>
        <v>0.13</v>
      </c>
      <c r="E10" s="12">
        <v>3</v>
      </c>
      <c r="F10" s="12">
        <v>3</v>
      </c>
      <c r="G10" s="12">
        <v>2</v>
      </c>
      <c r="H10" s="12">
        <v>3</v>
      </c>
      <c r="I10" s="12">
        <v>3</v>
      </c>
      <c r="J10" s="16"/>
      <c r="K10" s="16"/>
      <c r="L10" s="16"/>
      <c r="M10" s="16"/>
    </row>
    <row r="11" spans="1:13" ht="29">
      <c r="A11" s="16"/>
      <c r="B11" s="27" t="s">
        <v>15</v>
      </c>
      <c r="C11" s="26">
        <v>0.2</v>
      </c>
      <c r="D11" s="22">
        <f>C11*$C$8</f>
        <v>0.13</v>
      </c>
      <c r="E11" s="12">
        <v>3</v>
      </c>
      <c r="F11" s="12">
        <v>2</v>
      </c>
      <c r="G11" s="12">
        <v>3</v>
      </c>
      <c r="H11" s="12">
        <v>3</v>
      </c>
      <c r="I11" s="12">
        <v>3</v>
      </c>
      <c r="J11" s="16"/>
      <c r="K11" s="16"/>
      <c r="L11" s="16"/>
      <c r="M11" s="16"/>
    </row>
    <row r="12" spans="1:13">
      <c r="A12" s="16"/>
      <c r="B12" s="28" t="s">
        <v>7</v>
      </c>
      <c r="C12" s="26">
        <v>0.2</v>
      </c>
      <c r="D12" s="22">
        <f>C12*$C$8</f>
        <v>0.13</v>
      </c>
      <c r="E12" s="12">
        <v>3</v>
      </c>
      <c r="F12" s="12">
        <v>3</v>
      </c>
      <c r="G12" s="12">
        <v>3</v>
      </c>
      <c r="H12" s="12">
        <v>3</v>
      </c>
      <c r="I12" s="12">
        <v>3</v>
      </c>
      <c r="J12" s="16"/>
      <c r="K12" s="16"/>
      <c r="L12" s="16"/>
      <c r="M12" s="16"/>
    </row>
    <row r="13" spans="1:13">
      <c r="A13" s="16"/>
      <c r="B13" s="15"/>
      <c r="C13" s="9">
        <f>C3+C8</f>
        <v>1</v>
      </c>
      <c r="D13" s="10">
        <f>SUM(D3:D12)</f>
        <v>1</v>
      </c>
      <c r="E13" s="34">
        <f>SUMPRODUCT(D4:D12,E4:E12)/3</f>
        <v>0.82666666666666666</v>
      </c>
      <c r="F13" s="34">
        <f>SUMPRODUCT(D4:D12,F4:F12)/3</f>
        <v>0.95666666666666655</v>
      </c>
      <c r="G13" s="34">
        <f>SUMPRODUCT(D4:D12,G4:G12)/3</f>
        <v>0.95666666666666667</v>
      </c>
      <c r="H13" s="34">
        <f>SUMPRODUCT(D4:D12,H4:H12)/3</f>
        <v>0.96499999999999997</v>
      </c>
      <c r="I13" s="34">
        <f>SUMPRODUCT(D4:D12,I4:I12)/3</f>
        <v>1</v>
      </c>
      <c r="J13" s="16"/>
      <c r="K13" s="16"/>
      <c r="L13" s="16"/>
      <c r="M13" s="16"/>
    </row>
    <row r="14" spans="1:13">
      <c r="A14" s="16"/>
      <c r="B14" s="16"/>
      <c r="C14" s="16"/>
      <c r="D14" s="16"/>
      <c r="E14" s="32"/>
      <c r="F14" s="17"/>
      <c r="G14" s="17"/>
      <c r="H14" s="17"/>
      <c r="I14" s="17"/>
      <c r="J14" s="16"/>
      <c r="K14" s="16"/>
      <c r="L14" s="16"/>
      <c r="M14" s="16"/>
    </row>
    <row r="15" spans="1:13">
      <c r="A15" s="16"/>
      <c r="B15" s="16"/>
      <c r="C15" s="16"/>
      <c r="D15" s="16"/>
      <c r="E15" s="36">
        <f>AVERAGE(E13:I13)</f>
        <v>0.94100000000000006</v>
      </c>
      <c r="F15" s="36"/>
      <c r="G15" s="36"/>
      <c r="H15" s="36"/>
      <c r="I15" s="36"/>
      <c r="J15" s="16"/>
      <c r="K15" s="16"/>
      <c r="L15" s="16"/>
      <c r="M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>
      <c r="A17" s="16"/>
      <c r="B17" s="33" t="s">
        <v>4</v>
      </c>
      <c r="C17" s="37"/>
      <c r="D17" s="37"/>
      <c r="E17" s="37"/>
      <c r="F17" s="37"/>
      <c r="G17" s="37"/>
      <c r="H17" s="37"/>
      <c r="I17" s="37"/>
      <c r="J17" s="16"/>
      <c r="K17" s="16"/>
      <c r="L17" s="16"/>
      <c r="M17" s="16"/>
    </row>
    <row r="18" spans="1:13">
      <c r="A18" s="16"/>
      <c r="B18" s="29" t="s">
        <v>5</v>
      </c>
      <c r="C18" s="30"/>
      <c r="D18" s="30"/>
      <c r="E18" s="30"/>
      <c r="F18" s="30"/>
      <c r="G18" s="30"/>
      <c r="H18" s="30"/>
      <c r="I18" s="16"/>
      <c r="J18" s="16"/>
      <c r="K18" s="16"/>
      <c r="L18" s="16"/>
      <c r="M18" s="16"/>
    </row>
    <row r="19" spans="1:13">
      <c r="A19" s="16"/>
      <c r="B19" s="18" t="s">
        <v>6</v>
      </c>
      <c r="C19" s="18"/>
      <c r="D19" s="18"/>
      <c r="E19" s="18"/>
      <c r="F19" s="18"/>
      <c r="G19" s="18"/>
      <c r="H19" s="18"/>
      <c r="I19" s="16"/>
      <c r="J19" s="16"/>
      <c r="K19" s="16"/>
      <c r="L19" s="16"/>
      <c r="M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>
      <c r="B23" s="3"/>
      <c r="C23" s="3"/>
      <c r="D23" s="3"/>
      <c r="E23" s="3"/>
      <c r="F23" s="3"/>
      <c r="G23" s="3"/>
      <c r="H23" s="3"/>
    </row>
    <row r="24" spans="1:13">
      <c r="B24" s="2"/>
      <c r="C24" s="3"/>
      <c r="D24" s="3"/>
      <c r="E24" s="3"/>
      <c r="F24" s="3"/>
      <c r="G24" s="3"/>
      <c r="H24" s="3"/>
    </row>
    <row r="25" spans="1:13">
      <c r="B25" s="4"/>
      <c r="C25" s="4"/>
      <c r="D25" s="4"/>
      <c r="E25" s="4"/>
      <c r="F25" s="4"/>
      <c r="G25" s="4"/>
      <c r="H25" s="1"/>
    </row>
  </sheetData>
  <mergeCells count="3">
    <mergeCell ref="B1:I1"/>
    <mergeCell ref="E15:I15"/>
    <mergeCell ref="C17:I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Sukmawati</dc:creator>
  <cp:lastModifiedBy>Fajar Abdurrahman</cp:lastModifiedBy>
  <dcterms:created xsi:type="dcterms:W3CDTF">2019-08-07T02:55:19Z</dcterms:created>
  <dcterms:modified xsi:type="dcterms:W3CDTF">2026-03-25T06:51:25Z</dcterms:modified>
</cp:coreProperties>
</file>